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mc:AlternateContent xmlns:mc="http://schemas.openxmlformats.org/markup-compatibility/2006">
    <mc:Choice Requires="x15">
      <x15ac:absPath xmlns:x15ac="http://schemas.microsoft.com/office/spreadsheetml/2010/11/ac" url="https://imperiallondon-my.sharepoint.com/personal/pgallego_ic_ac_uk/Documents/PhD/Repositories/article-classifier/data/raw/"/>
    </mc:Choice>
  </mc:AlternateContent>
  <xr:revisionPtr revIDLastSave="260" documentId="8_{115F0C78-AF09-47F7-A3EF-30F48B9A2369}" xr6:coauthVersionLast="47" xr6:coauthVersionMax="47" xr10:uidLastSave="{524D0936-EE49-4AC7-9627-B7419CB8CDF5}"/>
  <bookViews>
    <workbookView xWindow="-120" yWindow="-120" windowWidth="29040" windowHeight="15720" firstSheet="1" activeTab="2" xr2:uid="{7037AAA8-3BBD-4D46-A4BD-ECEBAA4B2724}"/>
  </bookViews>
  <sheets>
    <sheet name="Instructions" sheetId="5" r:id="rId1"/>
    <sheet name="Abstracts  - Janusz" sheetId="11" r:id="rId2"/>
    <sheet name="Evaluation Matrix - Janusz" sheetId="10" r:id="rId3"/>
  </sheets>
  <externalReferences>
    <externalReference r:id="rId4"/>
    <externalReference r:id="rId5"/>
  </externalReferences>
  <definedNames>
    <definedName name="d">[1]Lookups!$A$2:$A$7</definedName>
    <definedName name="Research_Programmes">[2]Lookups!$A$2:$A$7</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K41" i="10" l="1"/>
  <c r="DK42" i="10" s="1"/>
  <c r="DK43" i="10" s="1"/>
  <c r="DK44" i="10" s="1"/>
  <c r="DK45" i="10" s="1"/>
  <c r="DK46" i="10" s="1"/>
  <c r="DK47" i="10" s="1"/>
  <c r="DK48" i="10" s="1"/>
  <c r="DK49" i="10" s="1"/>
  <c r="DK50" i="10" s="1"/>
  <c r="DK51" i="10" s="1"/>
  <c r="DK52" i="10" s="1"/>
  <c r="DK32" i="10"/>
  <c r="DK33" i="10" s="1"/>
  <c r="DK34" i="10" s="1"/>
  <c r="DK35" i="10" s="1"/>
  <c r="DK36" i="10" s="1"/>
  <c r="DK37" i="10" s="1"/>
  <c r="DK38" i="10" s="1"/>
  <c r="DK39" i="10" s="1"/>
  <c r="DK40" i="10" s="1"/>
  <c r="DK23" i="10"/>
  <c r="DK24" i="10" s="1"/>
  <c r="DK25" i="10" s="1"/>
  <c r="DK26" i="10" s="1"/>
  <c r="DK27" i="10" s="1"/>
  <c r="DK28" i="10" s="1"/>
  <c r="DK29" i="10" s="1"/>
  <c r="DK30" i="10" s="1"/>
  <c r="DK31" i="10" s="1"/>
  <c r="DK19" i="10"/>
  <c r="DK20" i="10" s="1"/>
  <c r="DK21" i="10" s="1"/>
  <c r="DK22" i="10" s="1"/>
  <c r="DK16" i="10"/>
  <c r="DK17" i="10" s="1"/>
  <c r="DK18" i="10" s="1"/>
  <c r="DK11" i="10"/>
  <c r="DK12" i="10" s="1"/>
  <c r="DK13" i="10" s="1"/>
  <c r="DK14" i="10" s="1"/>
  <c r="DK15" i="10" s="1"/>
  <c r="C9" i="10"/>
  <c r="C10" i="10" s="1"/>
  <c r="C11" i="10" s="1"/>
  <c r="C12" i="10" s="1"/>
  <c r="C13" i="10" s="1"/>
  <c r="C14" i="10" s="1"/>
  <c r="C15" i="10" s="1"/>
  <c r="C16" i="10" s="1"/>
  <c r="C17" i="10" s="1"/>
  <c r="C18" i="10" s="1"/>
  <c r="C19" i="10" s="1"/>
  <c r="C20" i="10" s="1"/>
  <c r="C21" i="10" s="1"/>
  <c r="C22" i="10" s="1"/>
  <c r="C23" i="10" s="1"/>
  <c r="C24" i="10" s="1"/>
  <c r="C25" i="10" s="1"/>
  <c r="C26" i="10" s="1"/>
  <c r="C27" i="10" s="1"/>
  <c r="C28" i="10" s="1"/>
  <c r="C29" i="10" s="1"/>
  <c r="C30" i="10" s="1"/>
  <c r="C31" i="10" s="1"/>
  <c r="C32" i="10" s="1"/>
  <c r="C33" i="10" s="1"/>
  <c r="C34" i="10" s="1"/>
  <c r="C35" i="10" s="1"/>
  <c r="C36" i="10" s="1"/>
  <c r="C37" i="10" s="1"/>
  <c r="C38" i="10" s="1"/>
  <c r="C39" i="10" s="1"/>
  <c r="C40" i="10" s="1"/>
  <c r="C41" i="10" s="1"/>
  <c r="C42" i="10" s="1"/>
  <c r="C43" i="10" s="1"/>
  <c r="C44" i="10" s="1"/>
  <c r="C45" i="10" s="1"/>
  <c r="C46" i="10" s="1"/>
  <c r="C47" i="10" s="1"/>
  <c r="C48" i="10" s="1"/>
  <c r="C49" i="10" s="1"/>
  <c r="C50" i="10" s="1"/>
  <c r="C51" i="10" s="1"/>
  <c r="C52" i="10" s="1"/>
  <c r="DK5" i="10"/>
  <c r="DK6" i="10" s="1"/>
  <c r="DK7" i="10" s="1"/>
  <c r="DK8" i="10" s="1"/>
  <c r="DK9" i="10" s="1"/>
  <c r="DK10"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pablo gallegos</author>
  </authors>
  <commentList>
    <comment ref="E2" authorId="0" shapeId="0" xr:uid="{839249CB-C8D5-4C45-B92B-35FDE3DAFD17}">
      <text>
        <r>
          <rPr>
            <b/>
            <sz val="9"/>
            <color indexed="81"/>
            <rFont val="Tahoma"/>
            <family val="2"/>
          </rPr>
          <t>pablo gallegos:</t>
        </r>
        <r>
          <rPr>
            <sz val="9"/>
            <color indexed="81"/>
            <rFont val="Tahoma"/>
            <family val="2"/>
          </rPr>
          <t xml:space="preserve">
With the increasing penetration of primarily inertia-less distributed energy resources, allowable delay in the fast frequency reserve provision to ensure marginal stability condition can become comparable with the requisite dead-time for fast-switching in a radial power distribution system (PDS) connected to the transmission system. Consequently, the prevailing short-duration load-generation imbalance might propagate as system-wide frequency excursion in the future power system, which traditionally has not been observed. Furthermore, during the fast-switching, some of the fast-acting reserve (FAR) providing local generators remain inaccessible to the bulk power system (BPS). This work has answered the questions of requisite reserve requirements to cater to such events through efficient energy and FAR provision joint-scheduling. Stochasticity of fast-switching, with temporary faults as a use-case, requires modeling of load-generation imbalance and local resource unavailability, vis-á-vis FAR requirement problem, as a chance-constraint. Due to the limited visibility at the BPS level, PDS operators must ensure sufficient FAR availability for a given confidence level of the chance-constraint. Individual chance-constraints are used to ensure mathematical simplicity. Here, the PDS is operated as a virtual power plant (VPP), where the operator can procure resources locally or from the wholesale market with the aim of profit maximization before the contingency occurs. Results show that FAR requirements can influence the local energy schedule and raise energy costs. Furthermore, the confidence level of the chance-constraint can impact overall profitability, and FAR should be scheduled carefully. Comparative analysis with a modified benchmark IEEE 33-node radial test system and a 98-node test system shows the superior performance of the proposed approach. The impact of the limited available FAR is also demonstrated.</t>
        </r>
      </text>
    </comment>
    <comment ref="F2" authorId="0" shapeId="0" xr:uid="{7A4C9A41-9285-417A-BEDE-A34D38D851DE}">
      <text>
        <r>
          <rPr>
            <b/>
            <sz val="9"/>
            <color indexed="81"/>
            <rFont val="Tahoma"/>
            <family val="2"/>
          </rPr>
          <t>pablo gallegos:</t>
        </r>
        <r>
          <rPr>
            <sz val="9"/>
            <color indexed="81"/>
            <rFont val="Tahoma"/>
            <family val="2"/>
          </rPr>
          <t xml:space="preserve">
Voltage regulation, frequency restoration, and reactive/active power sharing are the crucial tasks of the microgrid's secondary control, especially in the islanding operating mode. Because sensors and communication links in a microgrid are subject to noise, it is of paramount value to design a noise-resilient secondary voltage and frequency control. This paper proposes a minimum variance control approach for the secondary control of AC microgrids that can effectively perform noise attenuation, voltage/frequency restoration, and reactive/active power sharing. To this end, the nonlinear generalized minimum variance (NGMV) control approach is introduced to the islanded microgrid's secondary control system. The effectiveness of the proposed control approach is verified by simulating two microgrid test systems in MATLAB.</t>
        </r>
      </text>
    </comment>
    <comment ref="G2" authorId="0" shapeId="0" xr:uid="{9838878C-372A-4DFD-ACA9-1A5B43A2EF87}">
      <text>
        <r>
          <rPr>
            <b/>
            <sz val="9"/>
            <color indexed="81"/>
            <rFont val="Tahoma"/>
            <family val="2"/>
          </rPr>
          <t>pablo gallegos:</t>
        </r>
        <r>
          <rPr>
            <sz val="9"/>
            <color indexed="81"/>
            <rFont val="Tahoma"/>
            <family val="2"/>
          </rPr>
          <t xml:space="preserve">
Due to the increasing number of power electronics-based devices in modern power systems, there are concerns about the impact of higher-frequency interactions on system stability. The typically-used algebraic representation of networks fails to capture these newly emergent issues, but dynamically modelling the entire network with differential equations will lead to a prohibitively long simulation time. This paper proposes a computationally-efficient analysis framework to determine the system loadability in power electronics-rich, large networks with the consideration of multiple types of stabilities. The framework developed in this paper identifies the critical network elements based on the eigenvalue sensitivity in order to exploit a hybrid modelling approach. Within the hybrid model, only the critical network portion is modelled dynamically with the rest of the network represented by algebraic equations. Bifurcation theory is used to simultaneously analyze both small-disturbance rotor angle and small-disturbance voltage stability. The results obtained show that the high-frequency interactions are accurately captured with the proposed framework. Additionally, applying this methodology results in a small dimension for the system matrix and a reduction in the computational burden. Two test networks, a three-bus system and the IEEE 39-bus system, are used to illustrate and verify the analysis framework.</t>
        </r>
      </text>
    </comment>
    <comment ref="H2" authorId="0" shapeId="0" xr:uid="{D29D8C3C-8B52-4275-968D-9AFB2BE92F13}">
      <text>
        <r>
          <rPr>
            <b/>
            <sz val="9"/>
            <color indexed="81"/>
            <rFont val="Tahoma"/>
            <family val="2"/>
          </rPr>
          <t>pablo gallegos:</t>
        </r>
        <r>
          <rPr>
            <sz val="9"/>
            <color indexed="81"/>
            <rFont val="Tahoma"/>
            <family val="2"/>
          </rPr>
          <t xml:space="preserve">
In this article, we approach the problem of stability in nonlinear systems through a new perspective that views them as a combination of individual artificial systems carefully chosen to simplify the complex structure of nonlinear systems. This is achieved by recasting nonlinear vector fields as an algebraic sum of individual vector fields for which artificial systems with known invariant sets or at least in forms that allow for tractable approximation of their invariant sets. This attempt to restructure nonlinear systems stands out in comparison to other previous attempts like Lure' systems or network based models as a purely mathematical structuring technique that transcends the physical constraints and dependencies within dynamical models and allows the user to creatively construct artificial systems with the sole focus on the overall stability. The theoretical foundation is provided for a theorem about individual invariance to relate the invariant sets of individual artificial systems to the invariant set of their original system in a way that significantly simplifies the task of approximating regions of attraction. Several examples are used to demonstrate this theorem and we also evaluate the use this theorem for the challenging power system stability problems in both AC and DC grids. The proposed method is successfully applied to the IEEE 39-bus New England system, and a DC converter with constant power load giving accurate and realistic estimations of the critical clearing time and stability regions in comparison to state of the art approaches.</t>
        </r>
      </text>
    </comment>
    <comment ref="I2" authorId="0" shapeId="0" xr:uid="{418AD203-4258-4919-BA35-FB79A4953A07}">
      <text>
        <r>
          <rPr>
            <b/>
            <sz val="9"/>
            <color indexed="81"/>
            <rFont val="Tahoma"/>
            <family val="2"/>
          </rPr>
          <t>pablo gallegos:</t>
        </r>
        <r>
          <rPr>
            <sz val="9"/>
            <color indexed="81"/>
            <rFont val="Tahoma"/>
            <family val="2"/>
          </rPr>
          <t xml:space="preserve">
Ultra-high Voltage Direct Current system (UHVDC) can realize long distance transmission, and its loss measurement has great significance for loss reduction and fault diagnosis. Currently, loss measurements can be performed by model-driven and data-driven approaches. However, poor operating conditions can lead to system sensing errors, which can significantly reduce the accuracy and speed of measurement. To deal with this problem, we propose a digital twin architecture and constructs a data-driven learning model. The model, DTformer, is embedded in the digital twin architecture. And it has three remarkable processes: encoder-decoder based random feature extraction, loss measurement transfer learning and knowledge distillation. These processes extract parameter information and topology features from the data of UHVDC. The model has good accuracy, response time and resistance to the missing data. The comparison experiment shows that DTformer outperforms popular feature extraction models with an average decrease of 38.80% in RMSE and 42.82% in MAE, and the best R2 value is closest to 1. The analyses of lightweight and missingness show that the DTformer also has significant response time improvement and missing resistance. Finally, we also implement the visualization of digital twin to enable operators to perform monitoring, computation, analysis and management of UHVDC.</t>
        </r>
      </text>
    </comment>
    <comment ref="J2" authorId="0" shapeId="0" xr:uid="{6CE00DD7-0AA3-4302-88B3-8BB8B635142E}">
      <text>
        <r>
          <rPr>
            <b/>
            <sz val="9"/>
            <color indexed="81"/>
            <rFont val="Tahoma"/>
            <family val="2"/>
          </rPr>
          <t>pablo gallegos:</t>
        </r>
        <r>
          <rPr>
            <sz val="9"/>
            <color indexed="81"/>
            <rFont val="Tahoma"/>
            <family val="2"/>
          </rPr>
          <t xml:space="preserve">
This article addresses the low-delay location of faults due to lightning strikes using single-ended measurements in High Voltage Direct Current (HVDC) grids. A combined data-driven and model-driven approach is used to estimate the fault location iteratively. No prior knowledge of the voltage evolution at the fault location is required. Once the first wavefront due to a fault is detected at some observation location of the HVDC grid, the measurements are fed to a model of the propagation of transient waves along the lines. The model is parameterized by the estimated fault location. As a result, a model of the waveform samples starting from the second wavefront is obtained. The measured and modeled waveform samples are then compared to update the estimate of the fault location. The performance of the proposed approach is evaluated via simulations, including field measurements of lightning currents. Typical location accuracy of 300 m is obtained by considering observations performed at 1 MHz over an observation time interval of less than 1.5 ms.</t>
        </r>
      </text>
    </comment>
    <comment ref="K2" authorId="0" shapeId="0" xr:uid="{9F39E568-736D-4C1D-A5D7-D21C8FB06D30}">
      <text>
        <r>
          <rPr>
            <b/>
            <sz val="9"/>
            <color indexed="81"/>
            <rFont val="Tahoma"/>
            <family val="2"/>
          </rPr>
          <t>pablo gallegos:</t>
        </r>
        <r>
          <rPr>
            <sz val="9"/>
            <color indexed="81"/>
            <rFont val="Tahoma"/>
            <family val="2"/>
          </rPr>
          <t xml:space="preserve">
This paper proposes a new acceleration technique and a representative day aggregation procedure for the risk-averse two-stage stochastic generation and transmission network expansion planning problem, in which the conditional value-at-risk is used. We use a finite set of scenarios to model uncertainty in the peak demand level of loads, along with the capacity and marginal production cost of generating units. Moreover, we use representative days to model the operational variability of the electrical demand and renewable generation. The combination of scenarios and representative days involves many variables and constraints, which may lead to computationally intractable problems. Therefore, we propose a new relaxed version of the constraint generation-based algorithm that reduces the computational time of the problem. We additionally present a two-stage aggregation procedure that combines the modified maximum dissimilarity algorithm and the priority chronological time-period clustering in order to reduce the resolution of the representative days and to pay attention to extreme conditions. The numerical results of modified versions of the IEEE 24-bus Reliability Test System and the IEEE 118-bus Test System show reductions in the computational time of more than 89% for the relaxed constraint generation-based algorithm, and of more than 94% for the two-stage aggregation procedure.</t>
        </r>
      </text>
    </comment>
    <comment ref="L2" authorId="0" shapeId="0" xr:uid="{D1778DCC-7F89-4E3A-A06D-E5DE3E06D5EA}">
      <text>
        <r>
          <rPr>
            <b/>
            <sz val="9"/>
            <color indexed="81"/>
            <rFont val="Tahoma"/>
            <family val="2"/>
          </rPr>
          <t>pablo gallegos:</t>
        </r>
        <r>
          <rPr>
            <sz val="9"/>
            <color indexed="81"/>
            <rFont val="Tahoma"/>
            <family val="2"/>
          </rPr>
          <t xml:space="preserve">
In this article, we propose a novel decentralized frequency regulation method for renewable energy-dominated power systems. First, the system is modularized into unified frequency regulation modules composed of synchronous generators(SGs) and renewable energy stations. Then, based on the aggregation model of the module, a renewable energy station frequency regulation method based on robust control barrier functions(RCBFs) is proposed to ensure that the frequency deviation is limited, and an additional switching control strategy is complemented to avoid the long-term suspension of over-high quasi-steady-state frequency. The proposed method is still applicable under the coordination of multiple renewable energy stations. Each renewable energy station deploys decentralized control based on local information, which can support fast frequency response. The robustness of frequency response time constants of renewable energy stations and frequency dead zone are considered, which makes the control method easy to implement. A module transient frequency stability margin index based on reserve capacity is proposed, which can be used to guide the system planning and operation. Finally, simulation results validate the applicability of the proposed method, demonstrating its efficacy in regulating frequency in renewable energy-dominated power systems.</t>
        </r>
      </text>
    </comment>
    <comment ref="M2" authorId="0" shapeId="0" xr:uid="{3B6E1EDB-1A8C-413C-A686-A1E6220E022F}">
      <text>
        <r>
          <rPr>
            <b/>
            <sz val="9"/>
            <color indexed="81"/>
            <rFont val="Tahoma"/>
            <family val="2"/>
          </rPr>
          <t>pablo gallegos:</t>
        </r>
        <r>
          <rPr>
            <sz val="9"/>
            <color indexed="81"/>
            <rFont val="Tahoma"/>
            <family val="2"/>
          </rPr>
          <t xml:space="preserve">
At present, the distribution network investment is faced with complicated operation strategies and various new investment elements. It's difficult to evaluate the impact of different investment measures on the final benefits due to the complicated physical modeling and potential coupling correlation, which contributes to that the traditional model-driven decision-making method may not work. This paper proposes a novel deep transfer learning based surrogate-assisted method to address the challenge. The key idea is to develop a surrogate model to replace the input-output correlation between the certain investment measure and its benefits, which can be further reformulated into mixed-integer linear constraints and embedded into the classical investment decision-making model for the target distribution network. As the model is trained through a designed two-stage adaptive transfer learning algorithm, which can extract the similar rules from other distribution networks, the dilemma of insufficient effective samples is alleviated, while a neural network constrained algorithm is designed to linear the surrogate model for simplifying the optimization. Numerical cases prove the effectiveness of the surrogate model on correlation mining and show the superiority of the surrogate-assisted method in achieving the precision investment for target distribution network.</t>
        </r>
      </text>
    </comment>
    <comment ref="N2" authorId="0" shapeId="0" xr:uid="{96C216B7-911A-4A00-9466-F9694BF01757}">
      <text>
        <r>
          <rPr>
            <b/>
            <sz val="9"/>
            <color indexed="81"/>
            <rFont val="Tahoma"/>
            <family val="2"/>
          </rPr>
          <t>pablo gallegos:</t>
        </r>
        <r>
          <rPr>
            <sz val="9"/>
            <color indexed="81"/>
            <rFont val="Tahoma"/>
            <family val="2"/>
          </rPr>
          <t xml:space="preserve">
The article presents the methodology for dynamic equivalent modelling of hybrid renewable energy source (HRES) plant with the aim of obtaining highly accurate time domain HRES plant power responses at any time during the year. The focus is on equivalent modelling for transient stability studies. Historical HRES plant production dataset and transmission network short-circuit fault statistical data, along with unsupervised data mining and deep learning techniques, represent a basis of the modelling procedure. Dynamic equivalent model (DEM) is developed in the form of deep Long Short Term Memory network. Real and imaginary parts of voltage at the point of common coupling (PCC) are model inputs, while real and reactive power at the PCC are model outputs. The article also proposes a practical approach for selecting the adequate DEM at any time in a year based on the forecasted HRES plant operating scenario only. Model performance is evaluated on a large number of case studies using the HRES plant consisting of three renewable energy sources. The results have shown that only a few DEMs are required for representing the annual HRES plant dynamic performance and obtaining reliable transient system stability results.</t>
        </r>
      </text>
    </comment>
    <comment ref="O2" authorId="0" shapeId="0" xr:uid="{010F81EB-F0BC-4E37-9283-26A3E98E92D1}">
      <text>
        <r>
          <rPr>
            <b/>
            <sz val="9"/>
            <color indexed="81"/>
            <rFont val="Tahoma"/>
            <family val="2"/>
          </rPr>
          <t>pablo gallegos:</t>
        </r>
        <r>
          <rPr>
            <sz val="9"/>
            <color indexed="81"/>
            <rFont val="Tahoma"/>
            <family val="2"/>
          </rPr>
          <t xml:space="preserve">
Integrating distributed energy resources (DERs) to the conventional distribution networks results in the appearance of the concept of microgrid (MG), i.e. a set of DERs and consumers, which can be operated autonomously or in grid-connected mode. The challenge of weak converter-based MGs is taken into account in the synchronization problem of multiple MGs. Such a synchronization process is fully related to the voltage phase and magnitude of the connection points as well as the MG frequency. Therefore, the voltage/frequency fluctuations of MGs have a considerable impact on the synchronization process. In this article, a robust H-infinity controller is proposed for the synchronization process of multiple MGs as very weak grids to cope with these fluctuations and to obtain a smooth interconnection. The disturbances and uncertainties of the weak voltage and frequency are considered in the robust control synthesis, and the controller design process is completely described including parametric/unstructured uncertainty modeling, open/closed-loop modeling, and stability/performance weighting coefficient specifying. Moreover, all requirements of the synchronization procedure and control layer functionalities of MG hierarchical control, where they are fulfilled, are discussed including logic commands, control and communication signals. Time-domain simulations show a desirable performance according to design of the proposed robust synchronization control strategy.</t>
        </r>
      </text>
    </comment>
    <comment ref="P2" authorId="0" shapeId="0" xr:uid="{168F50BD-A18A-4718-8B6E-4F5380B41EA8}">
      <text>
        <r>
          <rPr>
            <b/>
            <sz val="9"/>
            <color indexed="81"/>
            <rFont val="Tahoma"/>
            <family val="2"/>
          </rPr>
          <t>pablo gallegos:</t>
        </r>
        <r>
          <rPr>
            <sz val="9"/>
            <color indexed="81"/>
            <rFont val="Tahoma"/>
            <family val="2"/>
          </rPr>
          <t xml:space="preserve">
Identification of capacitor switching transient location provides valuable insight into the state of the associated equipment. Machine learning (ML) models, and convolutional neural networks (CNNs) in particular, have demonstrated remarkable performance in signal location. However, ML models are data driven whose predictions are affected by noise in data and may also suffer from large extrapolation errors when applied to new conditions. Uncertainty quantification (UQ) is necessary to ensure model trustworthiness and avoid overconfident predictions in extrapolation. In this work, we propose a novel UQ method, called PI3NN, to quantify prediction uncertainty of ML models and integrate the method with CNNs for transient source location. PI3NN calculates Prediction Intervals by training 3 Neural Networks and uses root-finding methods to determine the interval precisely. Additionally, PI3NN can identify out-of-distribution (OOD) data in a nonstationary condition to avoid overconfident prediction. Results indicate that with PI3NN, transient signals are not only correctly identified, but when said signals are subject to corruptions characteristic of an actual power monitoring system (e.g non-ideal sensors), the model recognizes when it is uncertain about its predictions, effectively letting the user know when to accept or discard the results.</t>
        </r>
      </text>
    </comment>
    <comment ref="Q2" authorId="0" shapeId="0" xr:uid="{E1FB79AE-34F0-4915-93C0-A38D0F210E24}">
      <text>
        <r>
          <rPr>
            <b/>
            <sz val="9"/>
            <color indexed="81"/>
            <rFont val="Tahoma"/>
            <family val="2"/>
          </rPr>
          <t>pablo gallegos:</t>
        </r>
        <r>
          <rPr>
            <sz val="9"/>
            <color indexed="81"/>
            <rFont val="Tahoma"/>
            <family val="2"/>
          </rPr>
          <t xml:space="preserve">
The risk of transmission overload (TO) in power grids is increasing with the large-scale integration of intermittent renewable energy sources. An effective online preventive control schemes proves to be vital in safeguarding the security of power systems. In this paper, we formulate the online preventive control problem for TO alleviation as a constrained Markov decision process (CMDP), targeted to reduce the load rate of overloaded lines by implementing generation re-dispatch, transmission and busbar switching actions. The CMDP is solved with a state-of-the-art safe deep reinforcement learning method, based on the computationally efficient interior-point policy optimization (IPO), which facilitates desirable learning behavior towards constraint satisfaction and policy improvement simultaneously. The performance of IPO method is further improved with an enhanced perception of spatial-temporal correlations in power gird nodal and edge features, combining the strength of edge conditioned convolutional network and long short-term memory network, fostering more effective and robust preventive control policies to be devised. Case studies on a real-world system and a large-scale system validate the superior performance of the proposed method in TO alleviation, constraint handling, uncertainty adaptability and stability preservation, as well as its favorable computational performance, through benchmarking against both model-based and reinforcement learning-based baseline methods.</t>
        </r>
      </text>
    </comment>
    <comment ref="R2" authorId="0" shapeId="0" xr:uid="{7B4C0BA1-DFD7-449F-BD80-A6ADEFAC497D}">
      <text>
        <r>
          <rPr>
            <b/>
            <sz val="9"/>
            <color indexed="81"/>
            <rFont val="Tahoma"/>
            <family val="2"/>
          </rPr>
          <t>pablo gallegos:</t>
        </r>
        <r>
          <rPr>
            <sz val="9"/>
            <color indexed="81"/>
            <rFont val="Tahoma"/>
            <family val="2"/>
          </rPr>
          <t xml:space="preserve">
Temporary overvoltage (TOV) is becoming one challenge for the integration of significant power electronics resources into a power system. To assess the risk of TOV in a Multi-Infeed Power Electronic System (MIPES), a worst-case estimation approach is proposed to assess TOV risk. The paper starts with analyzing the mechanism of TOV, which reveals that TOV is dominated by excessive reactive power resulting from comprehensive control laggings. Then, the principle of approximating the TOV for a Voltage Source Converter (VSC) connecting to an infinite bus is introduced within the context of the RMS model. After that, a method based on the concept of generalized short-circuit ratio for overvoltage (gSCR-TOV) is introduced to quantify the risk of TOV in a multi-bus system. This concept intends to permit screening to identify those nodes at greatest need for further EMT assessment. To localize these nodes, a concept of weighted sensitivity matrix is further proposed to pinpoint the bus subject to highest TOV in a MIPES. Finally, case studies of EMT time-domain simulations are carried out and verifies the effectiveness of the proposed methods.</t>
        </r>
      </text>
    </comment>
    <comment ref="S2" authorId="0" shapeId="0" xr:uid="{5B846F83-B69A-4F8A-B559-BE5C143E67F3}">
      <text>
        <r>
          <rPr>
            <b/>
            <sz val="9"/>
            <color indexed="81"/>
            <rFont val="Tahoma"/>
            <family val="2"/>
          </rPr>
          <t>pablo gallegos:</t>
        </r>
        <r>
          <rPr>
            <sz val="9"/>
            <color indexed="81"/>
            <rFont val="Tahoma"/>
            <family val="2"/>
          </rPr>
          <t xml:space="preserve">
Accurate load forecasting can maintain the safety and stability of power grids. The mainstream models are based on complex recurrent or convolutional neural networks (RNNs, CNNs), and in recent years they are often used in combination with the attention mechanism. The shortcomings of these models are that they cannot get rid of sequential computation and fail to capture long-term dependence. For better application in day-ahead load forecasting (DALF), we propose a new network architecture, i.e., Forwardformer, which is implemented by imposing some effective improvements on the Transformer (a pioneering network model with applications in Natural Language Processing (NLP)). The core of Forwardformer is the multi-scale forward self-attention (MSFSA) and the correction structure of the encoder-dual decoder, which confer better computational efficiency and forecasting accuracy. Meanwhile, to improve forecasting accuracy on special days (weekends, holidays, etc.), the MSFSA configures dilated attention and global attention for them, respectively. Experiments performed on datasets from China and America demonstrated that the Forwardformer requires less runtime while being superior in forecasting accuracy. Especially in terms of weekends and holidays, it has outstanding advantages and provides a new solution to the DALF problem.</t>
        </r>
      </text>
    </comment>
    <comment ref="T2" authorId="0" shapeId="0" xr:uid="{9516F374-7EC6-40E6-B59B-67D62C5EB36E}">
      <text>
        <r>
          <rPr>
            <b/>
            <sz val="9"/>
            <color indexed="81"/>
            <rFont val="Tahoma"/>
            <family val="2"/>
          </rPr>
          <t>pablo gallegos:</t>
        </r>
        <r>
          <rPr>
            <sz val="9"/>
            <color indexed="81"/>
            <rFont val="Tahoma"/>
            <family val="2"/>
          </rPr>
          <t xml:space="preserve">
Participation analysis based on whole-system impedance models enables the root-cause stability analysis of large-scale power systems when state-space models are unavailable. To extend participation analysis to the hybrid AC/DC system, especially for the interlinking converter, this article proposes two complementary methods, namely the direct method and the indirect method. The direct method treats the interlinking converter as hybrid AC-DC port apparatus and the participation factor can be defined with the terminal hybrid AC-DC impedance matrix correspondingly. As for the indirect method, system equivalence can be made at the AC or DC terminal of the interlinking converter when impedance models within subsystems are unavailable such that preliminary knowledge of systems can be simplified. Importantly, the equivalence of these two methods on the observability of system components is revealed through theoretical analysis. The proposed impedance participation analysis methods are illustrated with a 4-bus hybrid AC/DC system, a modified 28-bus hybrid AC/DC system and a modified 96-bus hybrid AC/DC system. Numerical calculations and time-domain simulations are performed to validate the theoretical analysis.</t>
        </r>
      </text>
    </comment>
    <comment ref="U2" authorId="0" shapeId="0" xr:uid="{0317A119-E04F-48C2-A9D7-045720966B19}">
      <text>
        <r>
          <rPr>
            <b/>
            <sz val="9"/>
            <color indexed="81"/>
            <rFont val="Tahoma"/>
            <family val="2"/>
          </rPr>
          <t>pablo gallegos:</t>
        </r>
        <r>
          <rPr>
            <sz val="9"/>
            <color indexed="81"/>
            <rFont val="Tahoma"/>
            <family val="2"/>
          </rPr>
          <t xml:space="preserve">
To address the obstacles of frequency synchronization and phase angle cohesion caused by heterogeneity in generator dynamics, a distributed hierarchical fixed-time frequency control framework is devised in this paper to enhance transient stability. In the top interaction observer layer, a distributed homogeneous observer is designed for each follower generator to guarantee the follower's estimation states reach the expected leader's states based on Lyapunov and fixed-time theories. In the bottom local controller layer, based on fixed-time control and backstepping method, different controllers are constructed for follower generators with heterogeneous dynamics to make the follower's actual states track their estimation states. In addition, denial-of-service (DoS) attacks may block information transmission required by the distributed control and endanger system stability. The proposed distributed frequency control can be transformed into local frequency control to achieve self-defense against DoS attacks. According to direct feedback linearization, the nonlinear voltage control coordinated with the proposed distributed fixed-time frequency control is designed to enhance transient stability by imposing additional damping. Simulations confirm the efficiency of the proposed transient stability control scheme of power systems with heterogenous generator dynamics.</t>
        </r>
      </text>
    </comment>
    <comment ref="V2" authorId="0" shapeId="0" xr:uid="{E1BD274F-D66A-4E94-93BB-299B05B78FCE}">
      <text>
        <r>
          <rPr>
            <b/>
            <sz val="9"/>
            <color indexed="81"/>
            <rFont val="Tahoma"/>
            <family val="2"/>
          </rPr>
          <t>pablo gallegos:</t>
        </r>
        <r>
          <rPr>
            <sz val="9"/>
            <color indexed="81"/>
            <rFont val="Tahoma"/>
            <family val="2"/>
          </rPr>
          <t xml:space="preserve">
Security and transient stability (TS) constrained OPFs do not include network switching and often require excessive computation time due to discretization of the TS model. This paper proposes a non-simulation methodology to optimize active power dispatching and network switching to ensure TS and system security in the preventive control mode. Network switching is introduced in the security constrained OPF and classical TS models, giving a general dynamic security and TS constrained OPF. To ensure TS constraints are manageable in the optimization framework, TS is assessed by using proposed non-simulation based proxy measures. To this end, the key factors impacting TS are investigated and new composite robustness metrics for TS assessment are proposed; they consist of two terms, the nodal and network topology metrics. The former models generator features just before a fault, whilst the second considers impact of a fault on units. The general problem is then decomposed into two stages, the first being economic dispatching and the second optimization of network topology for TS via developed network robustness metrics. The minimum cost topology solutions are ranked by the TS performance. The proposed approach is tested on the IEEE68 Bus test system and compared with time-domain TS results.</t>
        </r>
      </text>
    </comment>
    <comment ref="W2" authorId="0" shapeId="0" xr:uid="{6A4BF37F-9A82-4D01-AD15-C75B03F1B34E}">
      <text>
        <r>
          <rPr>
            <b/>
            <sz val="9"/>
            <color indexed="81"/>
            <rFont val="Tahoma"/>
            <family val="2"/>
          </rPr>
          <t>pablo gallegos:</t>
        </r>
        <r>
          <rPr>
            <sz val="9"/>
            <color indexed="81"/>
            <rFont val="Tahoma"/>
            <family val="2"/>
          </rPr>
          <t xml:space="preserve">
High power level and temporal operation flexibility endow electric trains with great potential for improving grid resilience. It becomes crucial to quantify the grid support capacity (GSC) from large-scale electrified railways. This article innovatively proposes a hierarchical train coordination and trajectory regulation method to evaluate and deliver the GSC from electrified railways. In the light of the mechanical energy consumption analysis of train running, the energy-oriented train operation model is proposed to avoid the nonlinear differential dynamics of train kinetics when coordinating large-scale trains. Then the aggregation and disaggregation of trains for grid support can be formulated as linear and convex quadratic programming problems respectively. To closely follow the reference power and enhance the feasibility of train operation, a novel iterative discretization approach is proposed to generate the precise reference trajectory. A sliding mode controller with disturbance bound adaption is devised to overcome the modeling errors and disturbances when deploying GSC in realistic environment. Comprehensive numerical examples verify the effectiveness of the proposed scheme, and demonstrate the significant grid support potential from collaborative electrified railways.</t>
        </r>
      </text>
    </comment>
    <comment ref="X2" authorId="0" shapeId="0" xr:uid="{21553A94-6954-43C7-A54E-98D033FB6B9A}">
      <text>
        <r>
          <rPr>
            <b/>
            <sz val="9"/>
            <color indexed="81"/>
            <rFont val="Tahoma"/>
            <family val="2"/>
          </rPr>
          <t>pablo gallegos:</t>
        </r>
        <r>
          <rPr>
            <sz val="9"/>
            <color indexed="81"/>
            <rFont val="Tahoma"/>
            <family val="2"/>
          </rPr>
          <t xml:space="preserve">
Coordinated optimal dispatch is of utmost importance for the efficient and secure operation of hierarchically structured power systems. Conventional coordinated optimization methods, such as the Lagrangian relaxation and Benders decomposition, require iterative information exchange among subsystems. Iterative coordination methods have drawbacks including slow convergence, risk of oscillation and divergence, and incapability of multi-level optimization problems. To this end, this paper aims at the non-iterative coordinated optimization method for hierarchical power systems. The theory of the equivalent projection (EP) is proposed, which makes external equivalence of the optimal dispatch model of the subsystem. Based on the EP theory, a coordinated optimization framework is developed, where each subsystem submits the EP model as a substitute for its original model to participate in the cross-system coordination. The proposed coordination framework is proven to guarantee the same optimality as the joint optimization, with additional benefits of avoiding iterative information exchange, protecting privacy, compatibility with practical dispatch scheme, and capability of multi-level problems.</t>
        </r>
      </text>
    </comment>
    <comment ref="Y2" authorId="0" shapeId="0" xr:uid="{F2576FE0-4A38-4918-9118-F79C1DEF91C6}">
      <text>
        <r>
          <rPr>
            <b/>
            <sz val="9"/>
            <color indexed="81"/>
            <rFont val="Tahoma"/>
            <family val="2"/>
          </rPr>
          <t>pablo gallegos:</t>
        </r>
        <r>
          <rPr>
            <sz val="9"/>
            <color indexed="81"/>
            <rFont val="Tahoma"/>
            <family val="2"/>
          </rPr>
          <t xml:space="preserve">
Grids in near future are going to host synchronous generators (SGs), legacy grid-following converters (GFLCs), and relatively new grid-forming converters (GFCs), where the latter two technologies support converter-interfaced generations. This change is going to introduce new challenges - one of them is the dc-link voltage collapse issue in GFCs following the outage of a generator. As a solution, this paper proposes a nonlinear backstepping control strategy that guarantees Lyapunov stability of a reduced-order model of such systems. To this end, first a reduced model of a 6-bus system with one GFC, one GFLC, and one SG is considered to develop fundamental understanding of such systems and derive a stabilizing control strategy. Then, based on certain observations, the simplified model is extended to a multimachine system, which in turn helps developing the nonlinear control strategy in presence of bounded uncertainties. Further, a dc-link voltage tracking control is introduced to ensure controllable frequency support from GFCs. The proposed controller is decentralized in nature and requires limited communication only if neighboring buses have GFCs and/or GFLCs. Detailed phasor models of the 6-bus system and the modified 68-bus New England-New York system with 2 GFCs and 2 GFLCs are used to demonstrate the effectiveness of the proposed control strategies.</t>
        </r>
      </text>
    </comment>
    <comment ref="Z2" authorId="0" shapeId="0" xr:uid="{4C1CFD38-9939-4558-B2A9-9AEC4C33739D}">
      <text>
        <r>
          <rPr>
            <b/>
            <sz val="9"/>
            <color indexed="81"/>
            <rFont val="Tahoma"/>
            <family val="2"/>
          </rPr>
          <t>pablo gallegos:</t>
        </r>
        <r>
          <rPr>
            <sz val="9"/>
            <color indexed="81"/>
            <rFont val="Tahoma"/>
            <family val="2"/>
          </rPr>
          <t xml:space="preserve">
The traditional communication method will bring a heavy burden to the grid system in the distributed collaborative control of microgrids. In grid-connected ac microgrid, this paper adopts an event-triggered control method to resolve the power sharing problem and reduce the communication cost. To begin, the problem is stated as the control problem of a leader-follower multiagent system and uses a distributed hierarchical control strategy to solve it. The primary controller uses the internal model principle to control the voltage output. To optimize the secondary controller, this paper not only adopts an event-triggered control strategy for the microgrid based on the Lyapunov principle to control the output of the compensator state, but also carries out relevant theoretical verification and analysis to ensure that each agent can exclude Zeno behavior. Finally, simulation instances are used to verify the usefulness of the studied control algorithm.</t>
        </r>
      </text>
    </comment>
    <comment ref="AA2" authorId="0" shapeId="0" xr:uid="{5851F4E4-7A99-44C0-AF33-25ADA82927FC}">
      <text>
        <r>
          <rPr>
            <b/>
            <sz val="9"/>
            <color indexed="81"/>
            <rFont val="Tahoma"/>
            <family val="2"/>
          </rPr>
          <t>pablo gallegos:</t>
        </r>
        <r>
          <rPr>
            <sz val="9"/>
            <color indexed="81"/>
            <rFont val="Tahoma"/>
            <family val="2"/>
          </rPr>
          <t xml:space="preserve">
With the exploration of deep decarbonization around the world, the contradiction between the low-carbon operation and energy supply in energy systems has been aggravating. There is an urgent need to tap the interactive potential between source and demand sides. In view of the current lack of efficient incentive measures for low-carbon energy consumption, an integrated demand response exchange (IDRX) mechanism is proposed to promote the coordinated low-carbon dispatching on source-demand side for integrated electricity-gas system (IEGS). The value model of IDRX for emission reduction is built to measure the ability of multi-energy load aggregators (MELAs) for decarbonization, and guide the IEGS operator to trade with the appropriate MELAs. An IDRX market clearing model is established based on non-cooperative game theory to allocate the decarbonization benefits among the entities in IEGS, thereby motivating the low-carbon demand response of users. Combined with the optimal operation of carbon capture power plant and power-to-gas (CCPP-P2G) on the source side, a two-stage low-carbon dispatching model for IEGS is established. Case studies are carried out with seasonal and uncertainty scenarios to verify the effectiveness of IDRX in emission mitigation and highlight the economic benefits of the proposed low-carbon dispatching model.</t>
        </r>
      </text>
    </comment>
    <comment ref="AB2" authorId="0" shapeId="0" xr:uid="{D65BEF2D-9E55-4DC0-A188-9F9B3BBCF185}">
      <text>
        <r>
          <rPr>
            <b/>
            <sz val="9"/>
            <color indexed="81"/>
            <rFont val="Tahoma"/>
            <family val="2"/>
          </rPr>
          <t>pablo gallegos:</t>
        </r>
        <r>
          <rPr>
            <sz val="9"/>
            <color indexed="81"/>
            <rFont val="Tahoma"/>
            <family val="2"/>
          </rPr>
          <t xml:space="preserve">
The rising penetration of renewable energy leads to the integration of numerous converter-interfaced generators (CIG) in the power system. Equipped with high frequency regulation performance, CIGs are appropriate providers of the primary frequency regulation (PFR) service, which refers to the self-controlled frequency regulation service. To clarify the deserved compensation of each unit from providing PFR service in the converter-integrated power system (CIPS), a comprehensive-contribution-based PFR market is designed in this article. First, the unified transfer function structure (UTFS) is introduced to model the frequency dynamics of the CIPS. Specifically, the system frequency nadir, the rate-of-change-of-frequency (RoCoF), and the output dynamics of each unit during PFR are obtained from the UTFS. Second, given the detailed dynamic information of the CIPS, we propose a dynamic constrained market clearing model (DCMCM) and a quantification method of units' contribution to the PFR market. Units' contribution to the frequency nadir, the RoCoF, and the mileage are comprehensively considered in the proposed method, which is capable to measure the contribution of CIGs. Furthermore, settlement rules which match with the proposed comprehensive contribution are proposed for the PFR market. Finally, the case study results show that units with better frequency regulation performance can benefit more, based on the proposed market mechanism. Compared with the commonly used mileage-based contribution quantification method, the proposed approach is more suitable for CIGs.</t>
        </r>
      </text>
    </comment>
    <comment ref="AC2" authorId="0" shapeId="0" xr:uid="{9E8D28E6-470D-4AF4-957B-41A9F2D05649}">
      <text>
        <r>
          <rPr>
            <b/>
            <sz val="9"/>
            <color indexed="81"/>
            <rFont val="Tahoma"/>
            <family val="2"/>
          </rPr>
          <t>pablo gallegos:</t>
        </r>
        <r>
          <rPr>
            <sz val="9"/>
            <color indexed="81"/>
            <rFont val="Tahoma"/>
            <family val="2"/>
          </rPr>
          <t xml:space="preserve">
A PV-integrated isolated DC microgrid has the potential to supply the electricity in remote areas with high reliability through greener and cheaper renewable energy resources (RERs). Having in mind the uncertainties in the RERs due to climatic changes, a combined application of battery and supercapacitor as composite energy storage devices (CESDs) in the DC microgrid is presented in this article. The purpose of CESD is to compensate the power imbalance caused by the intermittency of renewable sources and varying load demands. The power allocation in the composite energy storage system is a major concern and also it remains a challenging issue in conventional techniques. Hence, in this article, the problem is resolved by implementing an improved mixed droop technique (IMDT) with optimized steady-state as well as transient performances. With the proposed technique, the supercapacitor compensates all the fast power fluctuations in the system, while the battery supplies only the average power at steady-state. This control strategy advances the consistency of the system, dynamic restoration of the DC bus voltage, and reduces current stress from the battery units. Both MATLAB simulation and experiments are conducted to validate the effectiveness of the proposed strategy. Also, the scheme is verified for a large-scale 71 kW PV generating system through simulation.</t>
        </r>
      </text>
    </comment>
    <comment ref="AD2" authorId="0" shapeId="0" xr:uid="{925BC80D-C778-4516-BF5D-9F885013EC7A}">
      <text>
        <r>
          <rPr>
            <b/>
            <sz val="9"/>
            <color indexed="81"/>
            <rFont val="Tahoma"/>
            <family val="2"/>
          </rPr>
          <t>pablo gallegos:</t>
        </r>
        <r>
          <rPr>
            <sz val="9"/>
            <color indexed="81"/>
            <rFont val="Tahoma"/>
            <family val="2"/>
          </rPr>
          <t xml:space="preserve">
Power system operators are increasingly procuring frequency regulation reserves from distributed energy resources via aggregators. Provision of the frequency regulation services by the aggregators can be studied from different aspects and by using different models, ranging from very-short-run to long-term scheduling models. By developing a methodology for ensuring the operational model's compliance with the dynamic constraints, this article bridges the gap between economic studies of the aggregator's frequency containment reserve market participation on the one hand and the distributed energy resources' dynamic response on the other. The article presents a mixed-integer linear program for the aggregator's portfolio management that incorporates constraints of individual units' fast dynamics, and validates them via dynamic simulations. The results demonstrate the importance of including reserve activation constraints when modelling storage technologies and settling time constraints when modelling conventional units.</t>
        </r>
      </text>
    </comment>
    <comment ref="AE2" authorId="0" shapeId="0" xr:uid="{8D47D640-97B7-46A1-8953-713989201EC1}">
      <text>
        <r>
          <rPr>
            <b/>
            <sz val="9"/>
            <color indexed="81"/>
            <rFont val="Tahoma"/>
            <family val="2"/>
          </rPr>
          <t>pablo gallegos:</t>
        </r>
        <r>
          <rPr>
            <sz val="9"/>
            <color indexed="81"/>
            <rFont val="Tahoma"/>
            <family val="2"/>
          </rPr>
          <t xml:space="preserve">
Microgrids (MGs), as localized small power systems, can effectively provide voltage regulation services for distribution networks by integrating and managing various distributed energy resources. Existing literature employs model-based optimization approaches to formulate the voltage regulation problem of multi-MGs, which require complete system models. However, this assumption is normally impractical due to time-varying environment and privacy issues. To fill this research gap, this paper suggests a data-driven decentralized framework for the cost-effective voltage regulation of a distribution network with multi-MGs. A novel multi-agent reinforcement learning method featuring an augmented graph convolutional network and a proximal policy optimization algorithm is proposed to solve this problem. Furthermore, the techniques of critical bus and electrical distance enhance the capability of feature extractions from the distribution network, allowing for the decentralized training with privacy preserving. Simulation results based on modified IEEE 33-bus, 69-bus, and 123-bus networks are developed to validate the effectiveness of the proposed method in enabling multi-MGs to provide distribution network voltage regulation.</t>
        </r>
      </text>
    </comment>
    <comment ref="AF2" authorId="0" shapeId="0" xr:uid="{94E877F2-FD02-4C72-A93C-828506E8748F}">
      <text>
        <r>
          <rPr>
            <b/>
            <sz val="9"/>
            <color indexed="81"/>
            <rFont val="Tahoma"/>
            <family val="2"/>
          </rPr>
          <t>pablo gallegos:</t>
        </r>
        <r>
          <rPr>
            <sz val="9"/>
            <color indexed="81"/>
            <rFont val="Tahoma"/>
            <family val="2"/>
          </rPr>
          <t xml:space="preserve">
Frequency regulation scheme of doubly-fed induction generators (DFIGs) are implemented to improve the frequency stability achieving by rotor speed control. However, the coupling dynamics between the maximum power point tracking operation control loop and frequency regulation control loop would impair the frequency regulation capability. To eliminate the adverse influences, firstly, analytical derivation for coupling output power dynamics is represented when adopting frequency regulation scheme of the DFIG. Then, an adaptive frequency droop feedback control based on power tracking operation strategy, which is a decoupling control scheme for frequency regulation, is proposed to respond the dynamic grid frequency without reserving power. The frequency deviation-based droop control with dynamics gains is used to calculate the coefficient of power tracking operation of the DFIG. The system stability with various power tracking operation of the DFIG is analyzed, in addition, the stable boundary is used to limit the setting of coefficient of power tracking operation. Simulations are carried based on an EMTP-RV simulator. It is found that the suggested adaptive frequency droop feedback control based on power tracking strategy can provide dual frequency regulation capability and reduce the maximum frequency excursion under various scenarios.</t>
        </r>
      </text>
    </comment>
    <comment ref="AG2" authorId="0" shapeId="0" xr:uid="{CCE99FBD-122B-4323-96AC-BA255296E20B}">
      <text>
        <r>
          <rPr>
            <b/>
            <sz val="9"/>
            <color indexed="81"/>
            <rFont val="Tahoma"/>
            <family val="2"/>
          </rPr>
          <t>pablo gallegos:</t>
        </r>
        <r>
          <rPr>
            <sz val="9"/>
            <color indexed="81"/>
            <rFont val="Tahoma"/>
            <family val="2"/>
          </rPr>
          <t xml:space="preserve">
Stochastic adaptive robust optimization is capable of handling short-term uncertainties in demand and variable renewable-energy sources that affect investment in generation and transmission capacity. We build on this setting by considering a multi-year investment horizon for finding the optimal plan for generation and transmission capacity expansion while reducing greenhouse gas emissions. In addition, we incorporate multiple hours in power-system operations to capture hydropower operations and flexibility requirements for utilizing variable renewable-energy sources such as wind and solar power. To improve the computational performance of existing exact methods for this problem, we employ Benders decomposition and solve a mixed-integer quadratic programming problem to avoid computationally expensive big-M linearizations. The results for a realistic case study for the Nordic and Baltic region indicate which investments in transmission, wind power, and flexible generation capacity are required for reducing greenhouse gas emissions. Through out-of-sample experiments, we show that the stochastic adaptive robust model leads to lower expected costs than a stochastic programming model under increasingly stringent environmental considerations.</t>
        </r>
      </text>
    </comment>
    <comment ref="AH2" authorId="0" shapeId="0" xr:uid="{D58DCD98-9361-45D8-A095-A05F0085D4BB}">
      <text>
        <r>
          <rPr>
            <b/>
            <sz val="9"/>
            <color indexed="81"/>
            <rFont val="Tahoma"/>
            <family val="2"/>
          </rPr>
          <t>pablo gallegos:</t>
        </r>
        <r>
          <rPr>
            <sz val="9"/>
            <color indexed="81"/>
            <rFont val="Tahoma"/>
            <family val="2"/>
          </rPr>
          <t xml:space="preserve">
Global changes in the deployment of distributed energy resources, control and communications technologies, business models, and regulatory policy are increasing the operational options for future distribution systems. One such option is the coordinated operation of distributed resources to form microgrids and networks of microgrids to support traditional bulk power systems during normal operations and critical end-use loads during outages. While individual standalone microgrids have been extensively studied and deployed, the coordinated operation of networked microgrids is operationally more challenging due to the dynamic boundaries and changing mix of generation resources. This paper presents a method of using a distributed control architecture to support primary frequency response in networked microgrids operations. The support of primary frequency response is accomplished using the Open Field Message Bus reference architecture and Grid Friendly Appliance controllers.</t>
        </r>
      </text>
    </comment>
    <comment ref="AI2" authorId="0" shapeId="0" xr:uid="{74BA17C8-5161-4EBF-B2B1-CB2B00369990}">
      <text>
        <r>
          <rPr>
            <b/>
            <sz val="9"/>
            <color indexed="81"/>
            <rFont val="Tahoma"/>
            <family val="2"/>
          </rPr>
          <t>pablo gallegos:</t>
        </r>
        <r>
          <rPr>
            <sz val="9"/>
            <color indexed="81"/>
            <rFont val="Tahoma"/>
            <family val="2"/>
          </rPr>
          <t xml:space="preserve">
Solar hosting capacity analysis (HCA) assesses the ability of a distribution network to host distributed solar generation without seriously violating distribution network constraints. In this paper, we consider risk-sensitive HCA that limits the risk of network constraint violations with a collection of scenarios of solar irradiance and nodal power demands, where risk is modeled via the conditional value at risk (CVaR) measure. First, we consider the question of maximizing aggregate installed solar capacities, subject to risk constraints and solve it as a second-order cone program (SOCP) with a standard conic relaxation of the feasible set of the power flow equations. Second, we design an incremental algorithm to decide whether a configuration of solar installations has acceptable risk of constraint violations, modeled via CVaR. The algorithm circumvents explicit risk computation by incrementally constructing inner and outer polyhedral approximations of the set of acceptable solar installation configurations from prior such tests conducted. Our numerical examples study the impact of risk parameters, the number of scenarios and the scalability of our framework.</t>
        </r>
      </text>
    </comment>
    <comment ref="AJ2" authorId="0" shapeId="0" xr:uid="{D9311321-B752-42D4-95EB-620C27BF5F7E}">
      <text>
        <r>
          <rPr>
            <b/>
            <sz val="9"/>
            <color indexed="81"/>
            <rFont val="Tahoma"/>
            <family val="2"/>
          </rPr>
          <t>pablo gallegos:</t>
        </r>
        <r>
          <rPr>
            <sz val="9"/>
            <color indexed="81"/>
            <rFont val="Tahoma"/>
            <family val="2"/>
          </rPr>
          <t xml:space="preserve">
In this paper, a novel distributed unified controller is designed to solve the problems of unbalanced State of Charge (SoC), unreasonable load current sharing, and unstable DC bus voltage for parallel battery storage systems (BSSs) in DC shipboard microgrid (DC-SMG). Different from the droop-based secondary controller, the designed distributed unified controller is a droop-free primary controller, which can incorporate SoC balancing, current sharing, and voltage regulation functions in the primary control layer. On this basis, each BSS uses an improved dynamic diffusion algorithm (DDA) to iteratively estimate the average information, and completes information exchange by a neighbor-to-neighbor communication network. Furthermore, the small-signal stability, large-signal stability, and global steady-state performance of the system is investigated using eigenvalue analysis, mixed potential theory (MPT), and matrix theory, respectively. Finally, the Matlab/Simulink simulation model and the StarSim HIL experimental platform for DC-SMG are built. The results show that the designed distributed unified controller can simultaneously achieve dynamic SoC balancing, proportional load current sharing, and smooth average bus voltage regulation, and has a faster SoC convergence speed and more stable control effect than the state-of-the-art methods.</t>
        </r>
      </text>
    </comment>
    <comment ref="AK2" authorId="0" shapeId="0" xr:uid="{99642AF3-18EF-47DA-AAE7-2DE5CE392027}">
      <text>
        <r>
          <rPr>
            <b/>
            <sz val="9"/>
            <color indexed="81"/>
            <rFont val="Tahoma"/>
            <family val="2"/>
          </rPr>
          <t>pablo gallegos:</t>
        </r>
        <r>
          <rPr>
            <sz val="9"/>
            <color indexed="81"/>
            <rFont val="Tahoma"/>
            <family val="2"/>
          </rPr>
          <t xml:space="preserve">
With the increase in cyber-physical threats and extreme weather events, resilience of the power system has become a problem of utmost societal importance. In this article, we propose a novel approach for resilience improvement of power distribution networks, based on the notions of persistent homology and simplicial neural networks (SNNs) which are new directions in graph learning. In particular, tools of persistent homology allow us to capture the most essential topological descriptors of the distribution network. In turn, extending the convolutional operation to simplicial complexes on the distribution network, using the Hodge-Laplacian analytics, enables us to describe complex interactions among multi-node higher order graph substructures. Such higher order graph substructures are of particular importance in distribution networks, since a change in power demand at a load bus (or the power supplied from a substation) will produce a corresponding perturbation in nodal variables (such as the bus voltages) and edge variables (such as branch currents). We validate our new Higher-Order Topological Neural Networks (HOT-Nets) model for contingency classification of three test distribution networks, the IEEE 37-bus feeder, IEEE 123-bus feeder, and the 342-bus low voltage network. Our experiment results on two case studies indicate that HOT-Nets substantially outperforms 9 state-of-the-art methods, yielding relative gains of up to 14.04% in terms of system resilience classification.</t>
        </r>
      </text>
    </comment>
    <comment ref="AL2" authorId="0" shapeId="0" xr:uid="{894FD5C4-94C9-4E22-B85D-F2D26676B0BC}">
      <text>
        <r>
          <rPr>
            <b/>
            <sz val="9"/>
            <color indexed="81"/>
            <rFont val="Tahoma"/>
            <family val="2"/>
          </rPr>
          <t>pablo gallegos:</t>
        </r>
        <r>
          <rPr>
            <sz val="9"/>
            <color indexed="81"/>
            <rFont val="Tahoma"/>
            <family val="2"/>
          </rPr>
          <t xml:space="preserve">
This two-part paper develops a non-iterative coordinated optimal dispatch framework, i.e., free of iterative information exchange, via the innovation of the equivalent projection (EP) theory. The EP eliminates internal variables from technical and economic operation constraints of the subsystem and obtains an equivalent model with reduced scale, which is the key to the non-iterative coordinated optimization. In Part II of this paper, a novel projection algorithm with the explicit error guarantee measured by the Hausdorff distance is proposed, which characterizes the EP model by the convex hull of its vertices. This algorithm is proven to yield a conservative approximation within the prespecified error tolerance and can obtain the exact EP model if the error tolerance is set to zero, which provides flexibility to balance the computation accuracy and effort. Applications of the EP-based coordinated dispatch are demonstrated based on the multi-area coordination and transmission-distribution coordination. Case studies with a wide range of system scales verify the superiority of the proposed projection algorithm in terms of computational efficiency and scalability, and validate the effectiveness of the EP-based coordinated dispatch in comparison with the joint optimization.</t>
        </r>
      </text>
    </comment>
    <comment ref="AM2" authorId="0" shapeId="0" xr:uid="{5569AD93-1C58-455D-9EB5-77F2DED835E6}">
      <text>
        <r>
          <rPr>
            <b/>
            <sz val="9"/>
            <color indexed="81"/>
            <rFont val="Tahoma"/>
            <family val="2"/>
          </rPr>
          <t>pablo gallegos:</t>
        </r>
        <r>
          <rPr>
            <sz val="9"/>
            <color indexed="81"/>
            <rFont val="Tahoma"/>
            <family val="2"/>
          </rPr>
          <t xml:space="preserve">
The universal use of open communication networks in interconnected power systems has changed the constant delay in the formerly dedicated channels into time-varying delay. The delay will deteriorate the dynamic performance of the load frequency control and lead to system frequency instability. This paper presents a fractional-order sliding mode controller for interconnected power systems with time-varying delay and performs stability analysis based on the Lyapunov direct method. Firstly, fractional-order integral sliding mode control is used to improve the stability of interconnected power systems containing time-varying delay. This expands the delay margin by taking advantage of the scalability of the fractional-order to the sliding mode surface. Then, the Riemann-Liouville fractional-order Lyapunov functional is introduced to stability analysis. This reduced the conservatism of the stability analysis by adjusting the upper limit of the functional integral. Lastly, combining Lyapunov's theory and integral inequality to obtain the stability conditions of the time-varying delay power system described by linear matrix inequality, and bring the stability margin of the system. The simulation results show that the designed controller can guarantee that the maximum delay time of the system is less than a predefined upper limit. The proposed control strategy obtains a larger stability margin than the other four scenarios. Additional simulation study was also conducted to verify its robustness to load variations and wind fluctuations.</t>
        </r>
      </text>
    </comment>
    <comment ref="AN2" authorId="0" shapeId="0" xr:uid="{F9C09DED-8179-413F-8EDE-FD7C418154DB}">
      <text>
        <r>
          <rPr>
            <b/>
            <sz val="9"/>
            <color indexed="81"/>
            <rFont val="Tahoma"/>
            <family val="2"/>
          </rPr>
          <t>pablo gallegos:</t>
        </r>
        <r>
          <rPr>
            <sz val="9"/>
            <color indexed="81"/>
            <rFont val="Tahoma"/>
            <family val="2"/>
          </rPr>
          <t xml:space="preserve">
Electromagnetic transient (EMT) simulation is critical and fundamental in the design and operation of the modular multilevel converter (MMC). This article proposes a highly efficient EMT simulation model for MMC based on hybrid numerical integration. The topology and operational principle of MMC are elaborated first. Based on this, an efficient simulation model for MMC is proposed. Each arm of the MMC is reduced to a two-node Norton equivalent circuit in the main network simulation. The computation of the capacitor dynamic equations is decoupled from that of the arm inductor dynamic equation. They are computed in a leapfrog manner. This makes the equivalent conductance of the MMC arm constant and greatly improves the simulation efficiency. Moreover, the dynamic equations of the capacitors are also decoupled from each other. Various operational conditions of the MMC are also considered, and accuracy and adaptability are thus ensured. Extensive studies on power systems with different scales verify the accuracy and improved efficiency of the proposed EMT simulation model for MMC.</t>
        </r>
      </text>
    </comment>
    <comment ref="AO2" authorId="0" shapeId="0" xr:uid="{A6935E6E-1C53-4122-AC19-C7E54B7BC090}">
      <text>
        <r>
          <rPr>
            <b/>
            <sz val="9"/>
            <color indexed="81"/>
            <rFont val="Tahoma"/>
            <family val="2"/>
          </rPr>
          <t>pablo gallegos:</t>
        </r>
        <r>
          <rPr>
            <sz val="9"/>
            <color indexed="81"/>
            <rFont val="Tahoma"/>
            <family val="2"/>
          </rPr>
          <t xml:space="preserve">
Modular multilevel converter-based high-voltage direct current (MMC-HVDC) systems have the potential to support grid frequency by utilizing the electrostatic energy stored in sub-module capacitors. However, existing energy control schemes cannot effectively use the MMC capacitor energy to provide sufficient inertia support. Additionally, those control schemes are based on grid following control, suffering from stability issues when the AC grid short circuit ratio (SCR) decreases. Thus, a grid-forming control scheme capable of active energy management for MMC-HVDC systems integrating offshore wind farms (OWFs) is developed, achieving flexible energy regulation and stable operation under weak grid conditions. To improve inertia support performance, an optimal two-stage energy utilization method is further proposed to overcome the drawbacks of existing grid-forming methods. Finally, comparative simulations are performed in a 2-area 4-machine weak grid to verify the effectiveness and advantages of the proposed method.</t>
        </r>
      </text>
    </comment>
    <comment ref="AP2" authorId="0" shapeId="0" xr:uid="{8F9B3E6D-E668-4103-8098-C55F2E1E9D17}">
      <text>
        <r>
          <rPr>
            <b/>
            <sz val="9"/>
            <color indexed="81"/>
            <rFont val="Tahoma"/>
            <family val="2"/>
          </rPr>
          <t>pablo gallegos:</t>
        </r>
        <r>
          <rPr>
            <sz val="9"/>
            <color indexed="81"/>
            <rFont val="Tahoma"/>
            <family val="2"/>
          </rPr>
          <t xml:space="preserve">
This paper mainly focuses on the problem of non-fragile intermittent estimate tracking in microgrid systems with denial of service (DoS) attacks and gain fluctuation. Different from the common DC/AC microgrid system, the microgrid system studied in this paper involves large grid control and power line communication technology, which is more in line with the actual operating environment. Simultaneously, aiming at the occurrence of network-induced DoS attacks, an intermittent estimator based on partial measure information under cyber-attacks is designed. More importantly, instead of the existing single aperiodic or periodic DoS attacks, the DoS attacks scheme presented in this paper is semi-periodic DoS attacks whose the attack range is aperiodic and the attack width is certain. Furthermore, a variable obeying the Bernoulli distribution is proposed to characterize the randomly occurring gain fluctuation, in which the no-fragile observation is stochastic uncertain. Then, two sufficient conditions of stochastic stability of observation error system of microgrid are devised with the assistance of two different Lyapunov theories. Finally, the rationality of the developed theoretical method is verified by a numerical example.</t>
        </r>
      </text>
    </comment>
    <comment ref="AQ2" authorId="0" shapeId="0" xr:uid="{C953D547-38FE-4954-B1E9-8C3750060A29}">
      <text>
        <r>
          <rPr>
            <b/>
            <sz val="9"/>
            <color indexed="81"/>
            <rFont val="Tahoma"/>
            <family val="2"/>
          </rPr>
          <t>pablo gallegos:</t>
        </r>
        <r>
          <rPr>
            <sz val="9"/>
            <color indexed="81"/>
            <rFont val="Tahoma"/>
            <family val="2"/>
          </rPr>
          <t xml:space="preserve">
The post-disruption microgrid (MG) formation and the subsequent scheduling are resilience-enhancing measures for active distribution networks (ADNs) against disastrous events. This article proposes an integrated MG formation and scheduling solution, considering stochastic loads and distributed generators (DGs). Specifically, a first-stage MG formation model and a second-stage MG scheduling model are proposed to flexibly identify MG boundaries and restore as many critical loads as possible. The MG formation problem is formulated over multiple time steps to address time-varying generation outputs of intermittent DGs. Moreover, in the MG scheduling problem, the stochasticity of load demands and DG outputs is modeled as joint chance constraints (JCCs) to describe the possibility of security violations in the overall system. An efficient approximation method is next developed to convexify the JCCs into solvable second-order cones. The interaction between the MG formation and scheduling by the model predictive control implementation achieves a responsive solution for enhancing the emergency support capability of ADNs by incorporating power forecasts and real-time scheduling. The performance of the proposed method is verified in a modified real-world 136-node test feeder under catastrophic failures.</t>
        </r>
      </text>
    </comment>
    <comment ref="AR2" authorId="0" shapeId="0" xr:uid="{0E9A55C9-2C38-4E0E-94AA-E933E680E6C3}">
      <text>
        <r>
          <rPr>
            <b/>
            <sz val="9"/>
            <color indexed="81"/>
            <rFont val="Tahoma"/>
            <family val="2"/>
          </rPr>
          <t>pablo gallegos:</t>
        </r>
        <r>
          <rPr>
            <sz val="9"/>
            <color indexed="81"/>
            <rFont val="Tahoma"/>
            <family val="2"/>
          </rPr>
          <t xml:space="preserve">
With the continuous development of large-scale complex hybrid AC-DC grids, the fast adjustability of HVDC systems is required by the grid to provide frequency regulation services. This article develops a fully data-driven linear quadratic regulator (LQR) for the HVDC to provide temporal frequency support. The main technical challenge is the complexity and the nonlinearity of multi-infeed hybrid AC-DC (MIDC) systems dynamics that make the LQR intractable. Based on Koopman operator (KO) theory, a Koopman eigenpairs construction method is developed to fit a global linear dynamic model of MIDC systems. Once globally linear representation of uncontrolled system dynamics is obtained offline, the control term is constituted by the gradient of the identified eigenfunctions and the control matrix B. In case that B is unknown, we propose a method to identify it based on the verified Koopman eigenfunctions. The active power reference is optimized online for LCC-HVDC in a moving horizon fashion to provide frequency support, with only locally measurable frequency and transmission power. The robustness of the proposed control method against approximation errors of the linear representation in eigenfunction coordinates is analyzed. Simulation results show the effectiveness, robustness and adaptability of the proposed emergency control strategy.</t>
        </r>
      </text>
    </comment>
    <comment ref="AS2" authorId="0" shapeId="0" xr:uid="{DB45D754-C15E-47FD-8FAD-0B607A614A95}">
      <text>
        <r>
          <rPr>
            <b/>
            <sz val="9"/>
            <color indexed="81"/>
            <rFont val="Tahoma"/>
            <family val="2"/>
          </rPr>
          <t>pablo gallegos:</t>
        </r>
        <r>
          <rPr>
            <sz val="9"/>
            <color indexed="81"/>
            <rFont val="Tahoma"/>
            <family val="2"/>
          </rPr>
          <t xml:space="preserve">
To integrate weak onshore grids, some grid forming (GFM) control schemes taking advantage of DC voltage synchronization have been proposed for modular multilevel converter-based high-voltage direct current (MMC-HVDC) systems. In these control schemes, the sub-module (SM) capacitor energy is only used for grid synchronization. Since the SM capacitor is an energy storage device, it has the potential to actively regulate the stored energy. To fully exploit the energy management capability of MMC, a dual grid forming control scheme with energy regulation capability is presented in this paper. The proposed control scheme enables grid forming for both onshore and offshore MMC stations. Meanwhile, the capacitor energy of MMCs can be flexibly regulated to provide frequency support for the onshore grid. To verify the effectiveness of the proposed control scheme, case studies are first carried out in a point-to-point offshore wind farms (OWFs) integrated HVDC system. In addition, the frequency support performance is evaluated in a 3-area 4-machine grid integrated with two OWFs-HVDC systems. Finally, a single-terminal three-phase MMC prototype is developed to test the voltage decoupling and energy management capabilities of the proposed control strategy.</t>
        </r>
      </text>
    </comment>
    <comment ref="AT2" authorId="0" shapeId="0" xr:uid="{476406AE-457C-4E18-9540-52B381ACB2CF}">
      <text>
        <r>
          <rPr>
            <b/>
            <sz val="9"/>
            <color indexed="81"/>
            <rFont val="Tahoma"/>
            <family val="2"/>
          </rPr>
          <t>pablo gallegos:</t>
        </r>
        <r>
          <rPr>
            <sz val="9"/>
            <color indexed="81"/>
            <rFont val="Tahoma"/>
            <family val="2"/>
          </rPr>
          <t xml:space="preserve">
Frequency security is one of the challenges for the power grid penetrated by renewable energy systems (RESs). Virtual inertia provision from the RESs is considered to be efficient support for frequency security enhancement. How to estimate the frequency nadir rapidly and accurately is crucial for the online inertia allocation for the RESs. This paper develops a generic average system frequency (G-ASF) model for the power grid to estimate the frequency nadir at first. The low-order generic model of the speed governing system of the SG is proposed to enhance the accuracy and flexibility of the G-ASF model. Then, based on the G-ASF model, an online inertia allocation strategy for the grid-connected RESs under frequency nadir constraint is proposed. With the pre-identified generic models of the speed governing systems, the G-ASF model of the entire power grid is periodically updated according to the grid operation state. Next to the model updating, the critical inertia of the power grid is periodically calculated under the pre-defined contingencies for frequency security verification. Then, the virtual inertia provision tasks are determined and allocated to the RESs periodically, and the grid frequency security is effectively ensured. The simulation results validate the proposed model and strategy.</t>
        </r>
      </text>
    </comment>
    <comment ref="AU2" authorId="0" shapeId="0" xr:uid="{CC016494-D478-468C-8108-16F04312D8CB}">
      <text>
        <r>
          <rPr>
            <b/>
            <sz val="9"/>
            <color indexed="81"/>
            <rFont val="Tahoma"/>
            <family val="2"/>
          </rPr>
          <t>pablo gallegos:</t>
        </r>
        <r>
          <rPr>
            <sz val="9"/>
            <color indexed="81"/>
            <rFont val="Tahoma"/>
            <family val="2"/>
          </rPr>
          <t xml:space="preserve">
The high penetration of converter-based renewable energy sources has brought challenges to the power system frequency control. It is essential to consider the frequency security constraints and frequency control reserve requirements in unit commitment (UC). First, a novel extreme learning machine-based method is proposed to approximate the highly nonlinear frequency nadir constraint (FNC) by a set of linear constraints. Second, considering the variation of the frequency insecurity risk under the changing operational condition, we propose to optimize the primary frequency control (PFC) droop gains and reserve capacities in the UC model to provide diverse control efforts in different risk levels adaptively. Third, a secondary frequency control (SFC) reserve capacity quantification method is proposed by combining the Copula theory and distributionally robust optimization technique. The UC simulation is conducted on the IEEE 118-bus system to test the proposed optimal PFC droop gain strategy and SFC reserve capacity quantification method. Simulation results show that the proposed optimal PFC droop gain strategy is better than the traditional fixed PFC droop gain setting on economic efficiency and operational flexibility. Besides, the SFC reserve capacity calculated by the proposed method is more appropriate than the actual SFC reserve capacity in the historical operation.</t>
        </r>
      </text>
    </comment>
    <comment ref="AV2" authorId="0" shapeId="0" xr:uid="{84B4CF17-5A40-41A8-B84F-770A177A8C37}">
      <text>
        <r>
          <rPr>
            <b/>
            <sz val="9"/>
            <color indexed="81"/>
            <rFont val="Tahoma"/>
            <family val="2"/>
          </rPr>
          <t>pablo gallegos:</t>
        </r>
        <r>
          <rPr>
            <sz val="9"/>
            <color indexed="81"/>
            <rFont val="Tahoma"/>
            <family val="2"/>
          </rPr>
          <t xml:space="preserve">
This work proposes a primary frequency support mechanism for a voltage source converter (VSC) based multi-terminal high voltage dc (MTDC) transmission system that interconnects asynchronous ac grids. For the ac disturbance case, an augmented control strategy composed of a coordinated droop control (CDC) and a supplementary controller is developed. In CDC, the droop constants are determined considering the desired disturbance sharing ratio among the ac areas and the loading of the converters. On the other hand, the supplementary controller makes the designed droop constants provide the expected performance independent of the dc network parameters and the VSCs power losses. Therefore, the augmented controller can make the interconnected ac power systems exchange power according to the specified disturbance sharing ratio. In addition, the work introduces a new power rerouting technique to enhance the frequency and the dc voltage regulation of the ac/dc power system when a VSC trips. Furthermore, the droop constants for the nominal operation are designed to make the ac grids share the disturbance due to wind farm power variation based on their strength. Case studies are conducted for evaluation, and the presented technique shows enhanced performance in frequency and dc voltage regulations compared to the existing mechanisms in the literature.</t>
        </r>
      </text>
    </comment>
    <comment ref="AW2" authorId="0" shapeId="0" xr:uid="{3B3948A8-2AE3-493D-9D34-F69E0FEF44C2}">
      <text>
        <r>
          <rPr>
            <b/>
            <sz val="9"/>
            <color indexed="81"/>
            <rFont val="Tahoma"/>
            <family val="2"/>
          </rPr>
          <t>pablo gallegos:</t>
        </r>
        <r>
          <rPr>
            <sz val="9"/>
            <color indexed="81"/>
            <rFont val="Tahoma"/>
            <family val="2"/>
          </rPr>
          <t xml:space="preserve">
Grid-forming converters (GFC) are promising technology for improving the grid inertia and frequency stability via voltage source converters (VSC). However, GFCs could make the ac-side oscillations more complicated since it mimics the dynamics of synchronous generators (SG), and the ac-side oscillations could spread to the dc systems. This paper investigates the mechanism of the interactions between GFCs and ac grids, and proposes an enhanced GFC to improve the damping performance on oscillations. By separating the system model into GFC-related transfer functions (TF) and the ac grid-related TFs, the interaction and stability margin can be investigated by the phase difference of these TFs at the cross-gain frequency (CGF). A lead compensator is designed to reshape the phase characteristic of GFC-related TF for enhancing the damping performance of the GFC. The effectiveness of the enhanced GFC is tested according to the simulations on DIgSILENT/PowerFactory.</t>
        </r>
      </text>
    </comment>
    <comment ref="AX2" authorId="0" shapeId="0" xr:uid="{9923A402-D5CF-4535-B1AC-D2A147826E9E}">
      <text>
        <r>
          <rPr>
            <b/>
            <sz val="9"/>
            <color indexed="81"/>
            <rFont val="Tahoma"/>
            <family val="2"/>
          </rPr>
          <t>pablo gallegos:</t>
        </r>
        <r>
          <rPr>
            <sz val="9"/>
            <color indexed="81"/>
            <rFont val="Tahoma"/>
            <family val="2"/>
          </rPr>
          <t xml:space="preserve">
This paper addresses the instabilities and dynamic interactions in a centralized vector-controlled voltage-source converter interfacing a single-stage utility-scale photovoltaic (PV) generator to a high-impedance grid system. The dynamic resistance of the PV generator is considered, and effective active stabilization methods to guarantee the entire system's stability are proposed. Further, a complete state-space linearized model is developed, and different operating conditions alongside the maximum-power operation (MPO) are considered, such as fixed-voltage operation (FVO) and fixed-current operation (FCO). It is found that with the change of the PV generator operation from the FVO or MPO to the FCO region under the weak grid and nominal dc-link capacitance conditions, the dominant eigenmodes are relocated to the open-right-half-plane of the S-plane. This eventually induces inevitable high- and low-frequency oscillation instabilities. Further, it is found that medium-frequency oscillation instability is induced in the FVO region under a weak grid and reduced dc-link capacitance conditions. Active compensators are proposed to reduce the interaction dynamics and stabilize the entire system by reshaping the converter transfer functions; hence, the Nyquist stability criterion is maintained. Finally, detailed nonlinear time-domain simulation results are provided, showing the effectiveness of the proposed method in preserving the system's stability under a wide range of operation conditions.</t>
        </r>
      </text>
    </comment>
    <comment ref="AY2" authorId="0" shapeId="0" xr:uid="{2CF78EF8-FC34-4123-86C8-547EFFCE52CA}">
      <text>
        <r>
          <rPr>
            <b/>
            <sz val="9"/>
            <color indexed="81"/>
            <rFont val="Tahoma"/>
            <family val="2"/>
          </rPr>
          <t>pablo gallegos:</t>
        </r>
        <r>
          <rPr>
            <sz val="9"/>
            <color indexed="81"/>
            <rFont val="Tahoma"/>
            <family val="2"/>
          </rPr>
          <t xml:space="preserve">
Voltage and frequency stability is one of the major concerns with the continuously increasing penetration of offshore wind farms (OWFs) integrated into onshore grid via VSC-MTDC system, and it is a challenge to coordinate its low voltage ride-through (LVRT) and frequency regulation (FR) control when a local fault or large disturbance occurs in onshore grid. To address this challenge, a coordinated voltage-frequency support (CVFS) method for the VSC-MTDC integrated OWFs system is proposed in three parts: 1) an adaptive maximum power point tracking (MPPT) strategy is developed for wind turbines (WTs) to satisfy the power demands for LVRT and FR; 2) an active and reactive power quantification strategy, which firstly considers the static load characteristics of nodes nearest the grid side VSC (GSVSC) stations, is proposed for GSVSC stations to support LVRT and FR respectively; 3) an adaptive power allocation strategy, which considers the capacity constraint and the coordination factor with deviation and rate of change of voltage and frequency of different GSVSC stations, is conducted to achieve differential power distribution between LVRT and FR. Extensive test results have validated the effectiveness and performance of the proposed CVFS method.</t>
        </r>
      </text>
    </comment>
    <comment ref="AZ2" authorId="0" shapeId="0" xr:uid="{6402C081-BD95-4CFB-B6FD-4D3662B108F0}">
      <text>
        <r>
          <rPr>
            <b/>
            <sz val="9"/>
            <color indexed="81"/>
            <rFont val="Tahoma"/>
            <family val="2"/>
          </rPr>
          <t>pablo gallegos:</t>
        </r>
        <r>
          <rPr>
            <sz val="9"/>
            <color indexed="81"/>
            <rFont val="Tahoma"/>
            <family val="2"/>
          </rPr>
          <t xml:space="preserve">
Dynamic operating envelopes (DOEs) have been introduced in recent years as a means to manage the operation of distributed energy resources (DERs) within the network operational constraints. DOEs can be used by network operators to communicate DER dispatchable capacity to aggregators or customers without further consideration of network constraints and are thus viewed as a key enabler for demand-side participation in future electricity markets and for ensuring the integrity of distribution networks. While a number of approaches have been developed to calculate DOEs, uncertainties in system data are typically ignored, which can lead to unreliable results and introduce security risks in network operations. This article presents a deterministic procedure to calculate robust DOEs (RDOEs) explicitly hedged against uncertainty and variability in customers' loads and generations. The approach is based on a geometric construction strictly included within the feasible region of a linear unbalanced three-phase optimal power flow problem that specifies the network operational constraints. The article analyses and rigorously shows that the proposed approach also delivers proportional fairness in capacity allocations, and demonstrates how the RDOEs can be enlarged by i) exploiting the knowledge of customer operational statuses and ii) by optimising customers' controllable reactive powers. The efficiency and compliance of the proposed approach are characterised and discussed for three numerical case studies of varying complexity.</t>
        </r>
      </text>
    </comment>
    <comment ref="BA2" authorId="0" shapeId="0" xr:uid="{2DF2FB61-A922-4744-AE19-7CAC9B84BF0F}">
      <text>
        <r>
          <rPr>
            <b/>
            <sz val="9"/>
            <color indexed="81"/>
            <rFont val="Tahoma"/>
            <family val="2"/>
          </rPr>
          <t>pablo gallegos:</t>
        </r>
        <r>
          <rPr>
            <sz val="9"/>
            <color indexed="81"/>
            <rFont val="Tahoma"/>
            <family val="2"/>
          </rPr>
          <t xml:space="preserve">
In the presence of increasing uncertainties brought by intermittent renewable energy sources, security and risk management continue to be the most critical concern in modern power system operation. Risk-aware, real-time security constrained economic dispatch (RT-SCED) provides an efficient solution towards promptly, economically and robustly responding to the changes in the power system operating state. Despite different model-based methods have been developed to handle uncertainties, significant computation burden arise to incorporate N-1 contingency constraints with a higher temporal resolution in RT-SCED. Driven by similar computational challenges, risk evaluation is often overlooked in the current application of deep reinforcement learning (DRL) based data-driven methods in RT-SCED. This article proposes a DRL-based risk-aware RT-SCED methodological framework by incorporating a novel data-driven risk evaluation model to foster efficient agent-environment interactions. The real-time dispatch policies are constructed with an improved twin delayed deep deterministic policy gradient method. The policy network features a residual network architecture and incorporates an active power allocation mechanism to integrate empirical dispatch knowledge, preventing early termination and fostering more efficient learning behavior. Case studies validate the superior performance of the proposed method in risk-aware RT-SCED on cost efficiency, uncertainty adaptability and computational efficiency, through benchmarking against model-based and data-driven baseline methods.</t>
        </r>
      </text>
    </comment>
    <comment ref="BB2" authorId="0" shapeId="0" xr:uid="{B674E1A9-FCAB-4611-87E6-34E354703F73}">
      <text>
        <r>
          <rPr>
            <b/>
            <sz val="9"/>
            <color indexed="81"/>
            <rFont val="Tahoma"/>
            <family val="2"/>
          </rPr>
          <t>pablo gallegos:</t>
        </r>
        <r>
          <rPr>
            <sz val="9"/>
            <color indexed="81"/>
            <rFont val="Tahoma"/>
            <family val="2"/>
          </rPr>
          <t xml:space="preserve">
This article addresses the challenge of mitigating line overloading/congestion caused by renewable penetration and contingencies. Traditional methods of mitigating overloading involve generation rescheduling in tertiary dispatch every 5-30 minutes. This approach is generally based on forecasted load and generation, and not effective in real-time corrective actions. The article introduces a model-free Neuro Predictive Controller (NPC) that can map line power flows to the inputs of dispatching resources such as generators and/or battery energy storage systems. The NPC receives synchrophasor measurement of line power flows and generates control inputs (i.e., set points) to generators and/or battery energy storage systems. The controller does not require frequent update of the system model. The efficacy of the controller was tested on 16-machine 68-bus test system and the Indian grid for various scenarios, such as line outage, generator outage, variable renewable generation, and load change. The proposed controller demonstrated better performance as compared to the existing controllers. Upon successful implementation, the controller can regulate line flow in less than 60 seconds, allowing the lines to operate closer to the thermal limit and resolve limit violations due to contingencies and variable renewable generation in real-time.</t>
        </r>
      </text>
    </comment>
    <comment ref="BC2" authorId="0" shapeId="0" xr:uid="{90F52DA6-3764-4DB0-B978-F386AFB8D3FB}">
      <text>
        <r>
          <rPr>
            <sz val="9"/>
            <color indexed="81"/>
            <rFont val="Tahoma"/>
            <family val="2"/>
          </rPr>
          <t>With the integration of large-scale renewable energy sources (RES) and high voltage direct current (HVDC) based inter-regional transmission, modern power systems are facing low-inertia issues and poor frequency regulation capabilities. This article conducts a comprehensive review on frequency control and optimal operation methods in this context. First, the frequency characteristic of a low-inertia power system is analyzed covering the whole frequency response process. Secondly, the impacts of RES and HVDC integration on system inertia and frequency performance are studied, and the system frequency characteristics considering RES and HVDC are analyzed. Then, the frequency response modes of various frequency regulation resources are compared from the perspective of "source-grid-load-storage", including their basic control principles and frequency control strategies. Further, from the operation dispatch perspective, the frequency security-constrained power system optimal operation methods are reviewed. Finally, future research trends in this area are discussed.</t>
        </r>
      </text>
    </comment>
    <comment ref="BD2" authorId="0" shapeId="0" xr:uid="{358DEE35-604C-494E-8D77-DE107CAB30E1}">
      <text>
        <r>
          <rPr>
            <b/>
            <sz val="9"/>
            <color indexed="81"/>
            <rFont val="Tahoma"/>
            <family val="2"/>
          </rPr>
          <t>pablo gallegos:</t>
        </r>
        <r>
          <rPr>
            <sz val="9"/>
            <color indexed="81"/>
            <rFont val="Tahoma"/>
            <family val="2"/>
          </rPr>
          <t xml:space="preserve">
Additional active power control (AAPC) of wind turbines (WTs) is essential to improve the transient frequency stability of low-inertia power systems. Most of the existing research has focused on imitating the frequency response of the synchronous generator (SG), known as virtual inertia control (VIC), but are such control laws optimal for the power systems? Inspired by this question, this article proposes an optimal AAPC of WTs to maximize the frequency nadir post a major power deficit. By decoupling the WT response and the frequency dynamics, the optimal frequency trajectory is solved based on the trajectory model, and its universality is strictly proven. Then the optimal AAPC of WTs is constructed reversely based on the average system frequency (ASF) model with the optimal frequency trajectory as the desired control results. The proposed method can significantly improve the system frequency nadir. Meanwhile, the event insensitivity makes it can be deployed based on the on-line rolling update under a hypothetic disturbance, avoiding the heavy post-event computational burden. Finally, simulation results in a two-machine power system and the IEEE 39 bus power system verify the effectiveness of the optimal AAPC of WTs.</t>
        </r>
      </text>
    </comment>
    <comment ref="BE2" authorId="0" shapeId="0" xr:uid="{A2055DB0-525E-4568-A5E3-9A74C2CAF39B}">
      <text>
        <r>
          <rPr>
            <b/>
            <sz val="9"/>
            <color indexed="81"/>
            <rFont val="Tahoma"/>
            <family val="2"/>
          </rPr>
          <t>pablo gallegos:</t>
        </r>
        <r>
          <rPr>
            <sz val="9"/>
            <color indexed="81"/>
            <rFont val="Tahoma"/>
            <family val="2"/>
          </rPr>
          <t xml:space="preserve">
Dynamic operating envelopes (DOEs) are promising to cater for the strong uptake of distributed energy resources (DERs) in low-voltage (LV) distribution networks while ensuring secure network operation. Under the current framework, DOEs only specify active-reactive power set-points at households' point of connection (POC). In this regard, DOEs do not provide information on the feasible operating region (FOR) of end-users, which is helpful for an aggregator's market decisions. This article proposes a near real-time approach to determine DOEs that specify the FOR at end-users' POC in an LV distribution network. First, Latin hypercube sampling (LHS)-based load flow studies are performed to identify feasible pairs of P-Q injections at the POC that would not breach voltage limits. Secondly, the convex hull of feasible pairs is constructed to obtain household DOEs. Finally, a feeder-level time-varying envelope that represents the aggregate flexibility of downstream nodes of the network is calculated. A comprehensive analysis on a real Australian LV distribution network using realistic data suggests that the proposed approach is scalable and encourages active power exports beyond current industry practice. Moreover, the framework ensures privacy and separation between the distribution network service provider (DNSP) and the aggregator aligned with the existing policy and regulatory frameworks.</t>
        </r>
      </text>
    </comment>
    <comment ref="BF2" authorId="0" shapeId="0" xr:uid="{249D15F0-2A29-47BD-A975-074CC9B2DF80}">
      <text>
        <r>
          <rPr>
            <b/>
            <sz val="9"/>
            <color indexed="81"/>
            <rFont val="Tahoma"/>
            <family val="2"/>
          </rPr>
          <t>pablo gallegos:</t>
        </r>
        <r>
          <rPr>
            <sz val="9"/>
            <color indexed="81"/>
            <rFont val="Tahoma"/>
            <family val="2"/>
          </rPr>
          <t xml:space="preserve">
With numerous distributed energy resources (DERs) integrated into the distribution networks (DNs), the coordinated economic dispatch (C-ED) is essential for the integrated transmission and distribution grids. For large scale power grids, the centralized C-ED meets high computational burden and information privacy issues. To tackle these issues, this paper proposes a spatio-temporal decomposition algorithm to solve the C-ED in a distributed and parallel manner. In the temporal dimension, the multi-period economic dispatch (ED) of transmission grid (TG) is decomposed to several subproblems by introducing auxiliary variables and overlapping time intervals to deal with the temporal coupling constraints. Besides, an accelerated alternative direction method of multipliers (A-ADMM) based temporal decomposition algorithm with a good initialization strategy, is developed to solve the ED subproblems of TG in parallel. In the spatial dimension, a multi-parametric programming projection based spatial decomposition algorithm is developed to coordinate the ED problems of TG and DNs in a distributed manner. To further improve the convergence performance of the spatial decomposition algorithm, the aggregate equivalence approach is used for determining the feasible range of boundary variables of TG and DNs. Moreover, we prove that the proposed spatio-temporal decomposition method can obtain the optimal solution for bilevel convex optimization problems with continuously differentiable objectives and constraints. Numerical tests are conducted on three systems with different scales, demonstrating the high computational efficiency and scalability of the proposed spatio-temporal decomposition method.</t>
        </r>
      </text>
    </comment>
    <comment ref="BG2" authorId="0" shapeId="0" xr:uid="{38C26E45-74C3-43B3-B916-B1C11CD6C42E}">
      <text>
        <r>
          <rPr>
            <b/>
            <sz val="9"/>
            <color indexed="81"/>
            <rFont val="Tahoma"/>
            <family val="2"/>
          </rPr>
          <t>pablo gallegos:</t>
        </r>
        <r>
          <rPr>
            <sz val="9"/>
            <color indexed="81"/>
            <rFont val="Tahoma"/>
            <family val="2"/>
          </rPr>
          <t xml:space="preserve">
It is of imperative interests for regional transmission organizations (RTOs) to effectively extract actual load profiles at transmission nodes with significant behind-the-meter solar generation, which remains a gap in the existing technology paradigm. This paper proposes an explicit yet efficient linear estimator to disaggregate actual load profiles at transmission buses with significant behind-the-meter (BTM) solar generations. The proposed estimator is based on disaggregating (i.e., extracting) at locations close to transmission buses under consideration. To overcome the lack of ground truth and validate the performance of the proposed algorithms, we first propose semi-supervised mechanisms with parameter tuning as well as unsupervised clustering and leverage the unique characteristics of zero-crossing points in BTM solar peaking behaviors, which we refer to as Zone-to-Node (Z2N) methods. Next, we further propose a bi-level Node-to-Node (N2N) framework that improves the overall disaggregation performances compared to Z2N. Numerical results are presented using real-world data at PJM Interconnection.</t>
        </r>
      </text>
    </comment>
    <comment ref="BH2" authorId="0" shapeId="0" xr:uid="{6CC08DE5-D0DF-430D-9AB1-B02E99F4B6BB}">
      <text>
        <r>
          <rPr>
            <b/>
            <sz val="9"/>
            <color indexed="81"/>
            <rFont val="Tahoma"/>
            <family val="2"/>
          </rPr>
          <t>pablo gallegos:</t>
        </r>
        <r>
          <rPr>
            <sz val="9"/>
            <color indexed="81"/>
            <rFont val="Tahoma"/>
            <family val="2"/>
          </rPr>
          <t xml:space="preserve">
Focusing on the ability of microgrids (MGs) to provide a backup power supply to the distribution system in the event of main grid outages or disruptions, this article aims to propose a reliability model for self-controlled distributed energy resource-rich MGs from the perspective of the distribution system to which they are connected. To that end, the reliability model of MGs is derived using the Monte Carlo simulation approach and a mixed-integer linear programming-based model for optimal scheduling and resource management of MGs. An analytical framework for assessing the reliability of distribution systems in the presence of MGs is then developed by leveraging the proposed reliability model for MGs. Modeling and analyzing MGs using the proposed methodology result in the simplification and acceleration of computations associated with the reliability assessment of a distribution system including multiple MGs. The effectiveness and applicability of the proposed method are demonstrated through its implementation on a modified IEEE test system.</t>
        </r>
      </text>
    </comment>
    <comment ref="BI2" authorId="0" shapeId="0" xr:uid="{C6885942-8ADE-43E1-AAD1-550A3D6D40C8}">
      <text>
        <r>
          <rPr>
            <b/>
            <sz val="9"/>
            <color indexed="81"/>
            <rFont val="Tahoma"/>
            <family val="2"/>
          </rPr>
          <t>pablo gallegos:</t>
        </r>
        <r>
          <rPr>
            <sz val="9"/>
            <color indexed="81"/>
            <rFont val="Tahoma"/>
            <family val="2"/>
          </rPr>
          <t xml:space="preserve">
Distributed energy resources (DER) and control assets on the grid provide mechanisms to ensure voltage support and power quality, and can be used as a means to maintain voltages close to nominal values. In this work, we study the security region of a system in the presence of devices with dynamics. We focus our efforts on the dynamics of devices that apply discrete changes, such as voltage regulators or capacitor banks, and DERs that change the power injections with Volt/Var/Watt functionality. The slow dynamics of these devices, coupled through the power flow equations, are modeled as a switching dynamical system where the switching condition depends on the operating point of the system. We identify the feasible set of DER power injections that prevent the switching of devices and oscillations in the voltage profile, and formulate an optimization problem that finds a robust operating point for voltage control. This operating point is the center of the largest Euclidean ball inscribed in the security region, and the radius of the ball is the security margin of the system. We showcase our models using the IEEE test cases. Our work has applications in voltage control and distribution planning.</t>
        </r>
      </text>
    </comment>
    <comment ref="BJ2" authorId="0" shapeId="0" xr:uid="{DF1021BF-1FB1-4930-8A24-116ABB463636}">
      <text>
        <r>
          <rPr>
            <b/>
            <sz val="9"/>
            <color indexed="81"/>
            <rFont val="Tahoma"/>
            <family val="2"/>
          </rPr>
          <t>pablo gallegos:</t>
        </r>
        <r>
          <rPr>
            <sz val="9"/>
            <color indexed="81"/>
            <rFont val="Tahoma"/>
            <family val="2"/>
          </rPr>
          <t xml:space="preserve">
Developing a low-order model for a target with dynamic analysis and control of the primary frequency regulation (PFR) is critical for power system stability. Measurement-based modelling is an important way to improve the model fit with practical systems. The traditional interpretation of PFR is based on the combined effect of each generator unit on the system frequency, so the response of each unit needs to be measured for modelling. With the integration of a large number, distribution and diversified frequency regulation of units into a power system, it will be a burden to measure the response of all generation units. Instead of revealing the PFR dynamics based on each generation unit, this paper illustrates the impact of all units on the frequency dynamics from the perspective of the system response. Only the system frequency is needed to construct a dataset for identifying the PFR model so that the measurement required is sparse. The effectiveness of the proposed method is verified using a test system containing multiple types of units in numerical simulations and real measurements of an actual power system.</t>
        </r>
      </text>
    </comment>
    <comment ref="BK2" authorId="0" shapeId="0" xr:uid="{4F5FB62B-BAFE-4E37-8DC7-3BD5736FC982}">
      <text>
        <r>
          <rPr>
            <b/>
            <sz val="9"/>
            <color indexed="81"/>
            <rFont val="Tahoma"/>
            <family val="2"/>
          </rPr>
          <t>pablo gallegos:</t>
        </r>
        <r>
          <rPr>
            <sz val="9"/>
            <color indexed="81"/>
            <rFont val="Tahoma"/>
            <family val="2"/>
          </rPr>
          <t xml:space="preserve">
This paper proposes a novel real-time redispatch method for energy storage systems (ESSs) in resource adequacy studies. In case of real-time contingencies, a realistic operating profile is generated for ESSs to enhance system reliability by mitigating loss of load events, while maintaining their market schedule to the extent possible. Contrary to the standard approaches in the literature, the proposed method neither adopts a perfect foresight for future events, such as generator failures, nor does it resort to “greedy” adequacy-oriented management strategies which are detached from normal operation. Instead, storages follow a market-driven schedule, being suitably redispatched during real-time operation when necessary for adequacy reasons, subject to their energy and power capacity constraints. The redispatch method is deterministically formulated through a sequence of logical conditions and is integrated into a stochastic adequacy assessment model built upon Monte Carlo technique. Multiple battery energy storage configurations have been examined, with the Greek power system serving as a realistic case study, to evaluate the method against others available in the literature and calculate the capacity value of battery ESS.</t>
        </r>
      </text>
    </comment>
    <comment ref="BL2" authorId="0" shapeId="0" xr:uid="{B28F1A7C-D926-4ACA-969D-4C47AEBE0504}">
      <text>
        <r>
          <rPr>
            <b/>
            <sz val="9"/>
            <color indexed="81"/>
            <rFont val="Tahoma"/>
            <family val="2"/>
          </rPr>
          <t>pablo gallegos:</t>
        </r>
        <r>
          <rPr>
            <sz val="9"/>
            <color indexed="81"/>
            <rFont val="Tahoma"/>
            <family val="2"/>
          </rPr>
          <t xml:space="preserve">
Load unbalance in electric distribution systems is unavoidable. Unbalanced load currents will lead to negative sequence (NS) voltages that may damage electric equipment. Unbalanced power flow analysis is a common tool to detect and mitigate NS voltage issues and requires accurate models of grid components. While traditional source models are available, grid-forming (GFM) inverter models are not well developed. GFM inverters implement various control strategies, which affect their power flow models. In this article, a novel GFM inverter model considering control effects is proposed. We show that for some control methods, unbalanced system loading will lead to unbalanced terminal voltages of the GFM inverters, which are modeled through an equivalent negative sequence impedance. The proposed models are initially validated using a simple test circuit. Then, they are applied in the power flow analysis on the IEEE 13-bus and 34-bus systems to demonstrate the accuracy improvement over the state-of-the-art. Using time-domain simulations as benchmarks, we show that the proposed models reduce the calculation error of negative sequence voltages by at least 25% in unbalanced distribution systems.</t>
        </r>
      </text>
    </comment>
    <comment ref="BM2" authorId="0" shapeId="0" xr:uid="{71F97330-FBB0-47C6-9EB7-704D5EE74BA4}">
      <text>
        <r>
          <rPr>
            <b/>
            <sz val="9"/>
            <color indexed="81"/>
            <rFont val="Tahoma"/>
            <family val="2"/>
          </rPr>
          <t>pablo gallegos:</t>
        </r>
        <r>
          <rPr>
            <sz val="9"/>
            <color indexed="81"/>
            <rFont val="Tahoma"/>
            <family val="2"/>
          </rPr>
          <t xml:space="preserve">
Distributed Energy Resources (DERs) can provide balancing services to the grid, but their power variations might cause voltage and current constraint violations in the distribution network, compromising network safety. This could be avoided by including network constraints within DER control formulations, but the entities coordinating DERs (e.g., aggregators) may not have access to network information, which typically is known only to the utility. Therefore, it is challenging to develop network-safe DER control algorithms when the aggregator is not the utility; it requires these entities to coordinate with each other. In this article, we develop an aggregator-utility coordination framework that enables network-safe control of thermostatically-controlled loads to provide frequency regulation. In our framework, the utility sends a network-safe constraint set on the aggregator's input without directly sharing any network information. We propose a constraint set construction algorithm that guarantees satisfaction of a chance constraint on network safety. Assuming monotonicity of the probability of network safety with respect to the aggregator's input, we leverage the bisection method to find the largest possible constraint set, providing maximum flexibility to the aggregator. Simulations show that, compared to two benchmark algorithms, the proposed approach provides a good balance between service quality and network safety.</t>
        </r>
      </text>
    </comment>
    <comment ref="BN2" authorId="0" shapeId="0" xr:uid="{03854B0E-7D32-4478-8F93-C50F9FCA68BA}">
      <text>
        <r>
          <rPr>
            <b/>
            <sz val="9"/>
            <color indexed="81"/>
            <rFont val="Tahoma"/>
            <family val="2"/>
          </rPr>
          <t>pablo gallegos:</t>
        </r>
        <r>
          <rPr>
            <sz val="9"/>
            <color indexed="81"/>
            <rFont val="Tahoma"/>
            <family val="2"/>
          </rPr>
          <t xml:space="preserve">
This industry-oriented article presents an overview and in-depth analysis of previous and current situations of power system frequency response and control in the Australian National Electricity Market (NEM) power system. It provides a comprehensive understanding of frequency support services in the NEM and their corresponding market and energy governance bodies and control mechanisms. The evaluation of different services and frequency control ancillary services (FCASs) provided by different electricity market players under the supervision of the Australian Energy Market Operator (AEMO) as an independent system operator provides lessons and an understanding of the current operation status with its real challenges and opportunities from frequency stability and security perspectives. Based on the evaluation of the current situation and future national planning, such as the integrated system plan (ISP), a number of research gaps and industrial technical issues are identified. The article also presents perspectives on future research directions to help the power system transformation toward almost 100% renewable-rich and more secure energy systems.</t>
        </r>
      </text>
    </comment>
    <comment ref="BO2" authorId="0" shapeId="0" xr:uid="{4B8EB4CD-1FC0-4CB0-BB58-B6761F1889CC}">
      <text>
        <r>
          <rPr>
            <b/>
            <sz val="9"/>
            <color indexed="81"/>
            <rFont val="Tahoma"/>
            <family val="2"/>
          </rPr>
          <t>pablo gallegos:</t>
        </r>
        <r>
          <rPr>
            <sz val="9"/>
            <color indexed="81"/>
            <rFont val="Tahoma"/>
            <family val="2"/>
          </rPr>
          <t xml:space="preserve">
The linearised DC loadflow is a fast way to calculate the load flow in transmission networks, and it is often performed by calculating the PTDF. However, until now changes in topology due to busbar splitting cannot be dealt with in an efficient way when using the PTDF. In this study, we introduce the Bus Split Distribution Factors (BSDF) which enable an efficient way to compute the effects of busbar splitting on the DC load flow. The derivation of the BSDF formulas is based on modelling the busbar coupler as a branch with vanishing reactance and by using transformed LODF formulas. In times of the energy transition the BSDF approach might be especially helpful since optimal grid topology control is still a largely unexploited form of flexibility for system operators due to the complex combinatorial nature of grid topology reconfiguration. With the BSDF approach much faster screening of topological remedial actions (including substation reconfigurations) in congestion management applications is possible.</t>
        </r>
      </text>
    </comment>
    <comment ref="BP2" authorId="0" shapeId="0" xr:uid="{546BA9D1-A287-47BF-B8CA-30E6C7F90F84}">
      <text>
        <r>
          <rPr>
            <b/>
            <sz val="9"/>
            <color indexed="81"/>
            <rFont val="Tahoma"/>
            <family val="2"/>
          </rPr>
          <t>pablo gallegos:</t>
        </r>
        <r>
          <rPr>
            <sz val="9"/>
            <color indexed="81"/>
            <rFont val="Tahoma"/>
            <family val="2"/>
          </rPr>
          <t xml:space="preserve">
We analyze a dual-port grid-forming (GFM) control for power systems containing ac and dc transmission, converter-interfaced generation and energy storage, and legacy generation. To operate such a system and provide standard services, state-of-the-art control architectures i) require assigning grid-following (GFL) and GFM controls to different converters, and ii) result in highly complex system dynamics. In contrast, dual-port GFM control (i) subsumes common functions of GFM and GFL controls in a simple controller, ii) can be applied to a wide range of emerging technologies independently of the network configuration, and iii) significantly reduces system complexity. In this work, we provide i) an end-to-end modeling framework that allows to model complex topologies through composition of reduced-order device models, ii) an in-depth discussion of universal dual-port GFM control for emerging power systems, and iii) end-to-end stability conditions that cover a wide range of network topologies, emerging technologies, and legacy technologies. Finally, we validate our findings in detailed case studies.</t>
        </r>
      </text>
    </comment>
    <comment ref="BQ2" authorId="0" shapeId="0" xr:uid="{19D87B40-3F8F-4A4A-ADDC-2750C942829F}">
      <text>
        <r>
          <rPr>
            <b/>
            <sz val="9"/>
            <color indexed="81"/>
            <rFont val="Tahoma"/>
            <family val="2"/>
          </rPr>
          <t>pablo gallegos:</t>
        </r>
        <r>
          <rPr>
            <sz val="9"/>
            <color indexed="81"/>
            <rFont val="Tahoma"/>
            <family val="2"/>
          </rPr>
          <t xml:space="preserve">
Machine learning (ML) algorithms have been widely developed to enable real-time security assessment for large-scale electricity grids. However, it also has been extensively recognized that the ML models are vulnerable to adversarial examples, which are slightly perturbed instances that can mislead the classifications but cannot be distinguished by human eyes. Considering the adversarial examples against the ML-based security assessment, they must not only cause misclassification but also follow the power balance and transfer limits and bypass the bad data detection. To this end, this paper proposes a novel concept named physics-constrained robustness that aims to computing a lower-bound of adversarial perturbations, evaluating the vulnerability of the ML-based intelligent security assessment (ISA) for power systems. A general optimization problem is formulated to compute the physics-constrained robustness of ISA with the mislabeling, power balance, power limitation, and invisible constraints. The analytical results and comparing relationship of ISA’s robustness with different constraints are provided. By using the static security assessment as an example, we provide explicit formulations to evaluate the physics-constrained robustness of. Finally, extensive experiments are conducted to evaluate the physics-constrained robustness of ISA in static and dynamic cases with the real-world load profiles from New York State and provide suggestions to select the ML models and parameters.</t>
        </r>
      </text>
    </comment>
    <comment ref="BR2" authorId="0" shapeId="0" xr:uid="{DB8AE98A-E880-4403-B086-A864E33E646D}">
      <text>
        <r>
          <rPr>
            <b/>
            <sz val="9"/>
            <color indexed="81"/>
            <rFont val="Tahoma"/>
            <family val="2"/>
          </rPr>
          <t>pablo gallegos:</t>
        </r>
        <r>
          <rPr>
            <sz val="9"/>
            <color indexed="81"/>
            <rFont val="Tahoma"/>
            <family val="2"/>
          </rPr>
          <t xml:space="preserve">
With the increasing penetration of inverter-interfaced photovoltaic (PV) systems in AC microgrids, the system inertia is increasingly deficient and the frequency response ancillary service provided by PV systems will be inevitable. In this paper, in order to make the PV systems provide multi-time scale frequency response, a novel distributed event-triggered hierarchical control (DEHC) of PV inverters is proposed, which includes a primary frequency response (PFR) control loop and a secondary frequency response (SFR) control loop. For the PFR, the PV inverters that operate in frequency regulation (FR) mode can arrest the frequency deviation in sub-seconds time-scale by an automatic deloading strategy, which is with low cost and easy to implement as no requirements for a storage system, irradiance sensors, and MPP estimators. For the SFR, the PV inverters that operate in FR mode can respond to the reference instruction assigned by a high-level AGC control center in seconds time-scale based on a novel distributed control strategy, which can converge within a fixed-time that independents to the initial conditions of the system. Furthermore, a novel event-triggered mechanism is designed to reduce the communication costs between PV inverters. Finally, case study results verify the effectiveness and improved performance of the proposed method.</t>
        </r>
      </text>
    </comment>
    <comment ref="BS2" authorId="0" shapeId="0" xr:uid="{E7F653A6-BBEF-4CCB-B2D9-A712B19CA678}">
      <text>
        <r>
          <rPr>
            <b/>
            <sz val="9"/>
            <color indexed="81"/>
            <rFont val="Tahoma"/>
            <family val="2"/>
          </rPr>
          <t>pablo gallegos:</t>
        </r>
        <r>
          <rPr>
            <sz val="9"/>
            <color indexed="81"/>
            <rFont val="Tahoma"/>
            <family val="2"/>
          </rPr>
          <t xml:space="preserve">
With the increasing penetration rate of renewable energy power generation (RPG) in power system, improving the frequency regulation ability of RPG has become a general trend. The premise of effective participation of RPG in primary frequency regulation (PFR) is to reasonably design the power distribution scheme for RPG devices. In order to effectively evaluate the frequency support capability of wind power generation system, the system frequency response (SFR) model under the joint action of synchronous generators, wind farms (WF) and low frequency load shedding device is established in this paper. According to the time-domain solution of this mathematical model, the influence of the output power of the WF on SFR is mathematically explained. At the same time, the influence of time delay on SFR is further demonstrated. In order to maximize the release of the rotor kinetic energy of the wind turbine and ensure the safe operation of the wind turbine when designing the power distribution scheme, an accurate prediction method of wind turbine rotor speed based on piecewise fitting and Bernoulli equation is proposed. Based on the established SFR model and rotor speed prediction method, a two-stage power distribution scheme for multiple WFs during PFR is proposed, which comprehensively considers the SFR requirements and different power output capabilities of multiple WFs. The effectiveness and superiority of the proposed power distribution scheme are validated with revised IEEE 39-bus test system and revised PG&amp;E 69-bus test system.</t>
        </r>
      </text>
    </comment>
    <comment ref="BT2" authorId="0" shapeId="0" xr:uid="{46A867BE-B2DA-4820-A9A9-F695F23A268D}">
      <text>
        <r>
          <rPr>
            <b/>
            <sz val="9"/>
            <color indexed="81"/>
            <rFont val="Tahoma"/>
            <family val="2"/>
          </rPr>
          <t>pablo gallegos:</t>
        </r>
        <r>
          <rPr>
            <sz val="9"/>
            <color indexed="81"/>
            <rFont val="Tahoma"/>
            <family val="2"/>
          </rPr>
          <t xml:space="preserve">
The growing renewable integration significantly enhances the seasonal electricity imbalance of the electric energy system. However, traditional power system planning methods usually take into account the hourly power balance within typical days but seldom consider the seasonal imbalance risk in the long-term timescale. Therefore, this paper proposes a generation-transmission-storage co-planning model considering the seasonal imbalance risk brought by the long-term uncertainty of renewable generation in the power system. The Conditional Value at Risk (CVaR) method is introduced to quantify the seasonal imbalance risk. The power system energy balance constraints are decoupled into short-term (i.e., hourly) and long-term (i.e., monthly) energy balance so that the operation of the power system can be considered within different timescales and the seasonal imbalance risk could be calculated. The validity of the proposed model is first investigated via a modified Garver's 6-bus system case study. Furthermore, the research on the HRP-38 system (HRP represents high renewable penetration) illustrates that our proposed model could effectively control the energy imbalance risk from multiple timescales. Finally, the proposed method is applied to the whole China power system at the province level, proving that the proposed planning method could effectively enhance the reliability of China's power system, decreasing both the average annual short-term and long-term energy imbalance by 30%.</t>
        </r>
      </text>
    </comment>
    <comment ref="BU2" authorId="0" shapeId="0" xr:uid="{EDB21685-88F9-461A-AFE8-C6434C98029A}">
      <text>
        <r>
          <rPr>
            <b/>
            <sz val="9"/>
            <color indexed="81"/>
            <rFont val="Tahoma"/>
            <family val="2"/>
          </rPr>
          <t>pablo gallegos:</t>
        </r>
        <r>
          <rPr>
            <sz val="9"/>
            <color indexed="81"/>
            <rFont val="Tahoma"/>
            <family val="2"/>
          </rPr>
          <t xml:space="preserve">
Distributed Energy Resources (DERs) have valuable flexibility to provide grid services. The Aggregated Feasible Active Power Region (AFAPR) is useful for aggregating DERs and reducing the computational burden in system-wide DER scheduling. However, the uncertainty of DERs calls for a reliable AFAPR. This paper proposes a novel surrogate polytope method for deriving the inner approximation of the AFAPR that is jointly reliable for all DER constraints and linear network constraints across the scheduling period. Instead of directly applying the chance constraints to the low-level DER constraints and network constraints, the proposed method applies the Wasserstein Distributionally Robust Joint Chance Constraint (WDRJCC) to the surrogate polytope approximation of the AFAPR, which is reformulated into a tractable set of Mixed Integer Linear Programming (MILP) constraints. Our derived inner approximation to the reliable AFAPR is less conservative while still being reliable, as demonstrated by comparisons with four benchmarks in extensive case studies, and with the nonlinear Z-Bus power flow simulation applied to validate the satisfaction of network constraints. The historical data size required is small, making the proposed method easier to deploy. The scale of MILP constraints is small and does not increase with the network size nor with the number of DERs.</t>
        </r>
      </text>
    </comment>
    <comment ref="BV2" authorId="0" shapeId="0" xr:uid="{EADE5268-8D9B-40C9-8A7A-4D714988D7B9}">
      <text>
        <r>
          <rPr>
            <b/>
            <sz val="9"/>
            <color indexed="81"/>
            <rFont val="Tahoma"/>
            <family val="2"/>
          </rPr>
          <t>pablo gallegos:</t>
        </r>
        <r>
          <rPr>
            <sz val="9"/>
            <color indexed="81"/>
            <rFont val="Tahoma"/>
            <family val="2"/>
          </rPr>
          <t xml:space="preserve">
The problem of maintaining power system stability and performance after the failure of any single line in a power system (an “$N-1$ contingency”) is investigated. Due to the large number of possible $N-1$ contingencies for a power network, it is impractical to optimize controller parameters for each possible contingency a priori. A method to partition a set of contingencies into groups of contingencies that are similar to each other from a control perspective is presented. Design of a single controller for each group, rather than for each contingency, provides a computationally tractable method for maintaining stability and performance after element failures. The choice of number of groups tunes a trade-off between computation time and controller performance for a given set of contingencies. Results are simulated on the IEEE 39-bus and 68-bus systems, illustrating that, with controllers designed for a relatively small number of groups, power system stability may be significantly improved after an $N-1$ contingency compared to continued use of the nominal controller. Furthermore, performance is comparable to that of controllers designed for each contingency individually.</t>
        </r>
      </text>
    </comment>
    <comment ref="BW2" authorId="0" shapeId="0" xr:uid="{178A5DEB-B9E3-487B-9167-015D122EA842}">
      <text>
        <r>
          <rPr>
            <b/>
            <sz val="9"/>
            <color indexed="81"/>
            <rFont val="Tahoma"/>
            <family val="2"/>
          </rPr>
          <t>pablo gallegos:</t>
        </r>
        <r>
          <rPr>
            <sz val="9"/>
            <color indexed="81"/>
            <rFont val="Tahoma"/>
            <family val="2"/>
          </rPr>
          <t xml:space="preserve">
This article summarizes the three-year technical activities of the IEEE Task Force (TF) on behind-the-meter (BTM) distributed energy resources (DERs): estimation, uncertainty quantification, and control. The potential grid services from BTM DERs are discussed in detail. The paper also reviews the state-of-the-art for BTM DERs visibility, uncertainty quantification, and, optimization and control. Furthermore, different aspects of the market structures associated with BTM DERs are covered, including emerging market and business models. Finally, needs and recommendations are provided for additional areas such as system protection, computing capabilities, algorithm development, market structure design, cyberinfrastructure and security, and hardware and software developments.</t>
        </r>
      </text>
    </comment>
    <comment ref="BX2" authorId="0" shapeId="0" xr:uid="{E50E3970-014B-4D62-901D-F2998900C4F7}">
      <text>
        <r>
          <rPr>
            <b/>
            <sz val="9"/>
            <color indexed="81"/>
            <rFont val="Tahoma"/>
            <family val="2"/>
          </rPr>
          <t>pablo gallegos:</t>
        </r>
        <r>
          <rPr>
            <sz val="9"/>
            <color indexed="81"/>
            <rFont val="Tahoma"/>
            <family val="2"/>
          </rPr>
          <t xml:space="preserve">
Fast proliferation of distributed energy resources (DERs) and emergence of peer-to-peer (P2P) energy trading are introducing significant operation challenges to distribution networks. This paper designs a multi-timescale reactive power ancillary service trading framework in this context. The framework consists of a contract-based day-ahead Var reserve service trading stage and an hourly-ahead Var support service trading stage. At the day-ahead stage, the distribution system operator (DSO) signs a robust Var reserve contract with inverter-interfaced DERs which have sufficient Var capacity, and the problem is formulated as a two-stage robust optimization model considering uncertain nodal loads and hourly-ahead market behaviors. As an important advantage, the robust Var reserve contract eliminates the potential market power that the DERs may gain due to system configuration deficiency and market structure flaws at the later hourly-ahead trading stage. After uncertainty realization, at the hourly-ahead stage, DERs further provide the DSO with paid hourly-ahead Var supports using their spare Var capacity. The bilateral hourly-ahead Var trading between the DSO and DERs is modelled as a non-cooperative game. To attain a generalized Nash equilibrium (GNE) of the non-cooperative game, a distributed algorithm is developed by building the connection between the GNE and the primal-dual solution of a related social cost minimization problem. The proposed framework and methods are tested on three distribution systems of different scales.</t>
        </r>
      </text>
    </comment>
    <comment ref="BY2" authorId="0" shapeId="0" xr:uid="{767CA18B-B2AC-4375-9FE3-0280E98068A1}">
      <text>
        <r>
          <rPr>
            <b/>
            <sz val="9"/>
            <color indexed="81"/>
            <rFont val="Tahoma"/>
            <family val="2"/>
          </rPr>
          <t>pablo gallegos:</t>
        </r>
        <r>
          <rPr>
            <sz val="9"/>
            <color indexed="81"/>
            <rFont val="Tahoma"/>
            <family val="2"/>
          </rPr>
          <t xml:space="preserve">
With large-scale distributed energy resources (DERs) being integrated into distribution networks (DNs), the coordinated optimal power flow (OPF) of high voltage (HV) and medium voltage (MV) DNs becomes challenging due to enhanced uncertainties and nonlinearity. This paper presents a hierarchical distributed chance-constrained OPF model for HV and MV DNs based on a nonlinear adaptive data-driven method. The HV master problem aims to minimize the overall operational costs, and is transformed into mixed-integer convex problem via second order cone programming. A model-free chance-constrained optimization sub-problem is established to tackle inaccurate model parameters issues and DER uncertainties in MV DNs and realize rapid response to control schemes from HV DN. The nonlinearity of power flow is approximately depicted by a data-driven incomplete dimension lifting power flow (IDL-PF) constraint, which is integrated into the MV DNs optimization model. A novel multi-parameter programming (MPP)-based distributed algorithm is proposed to solve the coordinated OPF model, which can significantly accelerate the iterative speed between the master and sub-problems. Finally, the convergence, efficiency and optimality of the proposed method are validated by numerous simulations in a practical DNs in China.</t>
        </r>
      </text>
    </comment>
    <comment ref="BZ2" authorId="0" shapeId="0" xr:uid="{B28F3AD9-B94A-4787-A1D7-BDDE21ED0BA9}">
      <text>
        <r>
          <rPr>
            <b/>
            <sz val="9"/>
            <color indexed="81"/>
            <rFont val="Tahoma"/>
            <family val="2"/>
          </rPr>
          <t>pablo gallegos:</t>
        </r>
        <r>
          <rPr>
            <sz val="9"/>
            <color indexed="81"/>
            <rFont val="Tahoma"/>
            <family val="2"/>
          </rPr>
          <t xml:space="preserve">
Enabling the integration of distributed energy resources (DERs) into the wholesale market, as prompted by the FERC Order 2222, introduces substantial operational complexities. To align with the current wholesale energy market practice, regional transmission organizations (RTOs) are pursuing the aggregation of transmission-node-level DERs (T-DERs), in which each T-DER is a projected representation of all DERs in the distribution network underneath the transmission node, such as a virtual power plant (VPP). This paper advances a real-time economic dispatch (RTED) framework to facilitate the aggregation of multiple T-DERs, optimizing their participation in energy market operations. We enhance the distribution factors (DFs) based modeling to capture the impact of individual T-DERs across the transmission network. Specifically, an innovative DF updating strategy is introduced in our methodology, incorporating a tailored K-Nearest Neighbors (KNN) predictor and a discrete PI corrector, along with transmission signals that sufficiently guarantee transmission constraints. These enhancements optimize the economic efficiency of the market clearing process, allowing numerous T-DERs to be involved in current energy market practices. The proposed method is tested on modified 24-bus and 118-bus systems via a rolling RTED process with real load data. The test results show that the proposed framework demonstrates marked improvements in minimizing system operation costs and satisfying the transmission network constraints.</t>
        </r>
      </text>
    </comment>
    <comment ref="CA2" authorId="0" shapeId="0" xr:uid="{C0C64FB0-E8B4-4107-82CC-B0F191D86D52}">
      <text>
        <r>
          <rPr>
            <b/>
            <sz val="9"/>
            <color indexed="81"/>
            <rFont val="Tahoma"/>
            <family val="2"/>
          </rPr>
          <t>pablo gallegos:</t>
        </r>
        <r>
          <rPr>
            <sz val="9"/>
            <color indexed="81"/>
            <rFont val="Tahoma"/>
            <family val="2"/>
          </rPr>
          <t xml:space="preserve">
In this paper, a novel distributed integral controller is proposed for a power system with multiple synchronous generators (SGs) and inverter-interfaced distributed energy resources (DERs) that ensures grid frequency restoration, voltage regulation and accurate power sharing while satisfying technical/operational constraints for the real and reactive power imposed by the capability curve of each unit. By taking into account the generic nonlinear dynamic model of the entire power system and considering only neighbour-to-neighbour communication among SGs and DERs, the proposed controller is suitably designed to inherently guarantee the capability curve constraints using invariant set theory (Nagumo's theorem), without introducing saturation units that may lead to instability, as commonly used in the existing literature. Furthermore, closed-loop system stability is also investigated to prove convergence to the desired equilibrium point for different values of the controller gains. Finally, it is analytically shown that in the case where one or more SG or DER units are forced to reach their capability curve limits, due to abnormal conditions caused by sudden load changes, cyber attacks, measurement faults, etc., the remaining non-compromised units will automatically continue to accomplish the control tasks (frequency regulation, power sharing); thus enhancing the resilience of the entire power system. The effectiveness of the proposed controller is verified under 3 extreme scenarios (load change, setpoint attack, measurement fault) on an experimental setup using the Typhoon HIL real-time system for a 10-bus and a 14-bus power network, both with 4 SGs and 2 inverter-interfaced DERs and is directly compared to a conventional distributed integral controller.</t>
        </r>
      </text>
    </comment>
    <comment ref="CB2" authorId="0" shapeId="0" xr:uid="{B0DFD356-4535-4D4D-91BA-D64052DFCC89}">
      <text>
        <r>
          <rPr>
            <b/>
            <sz val="9"/>
            <color indexed="81"/>
            <rFont val="Tahoma"/>
            <family val="2"/>
          </rPr>
          <t>pablo gallegos:</t>
        </r>
        <r>
          <rPr>
            <sz val="9"/>
            <color indexed="81"/>
            <rFont val="Tahoma"/>
            <family val="2"/>
          </rPr>
          <t xml:space="preserve">
Frequency regulation support (FRS) from wind power plants (WPPs) is critical for enhancing the frequency stability of modern power systems. To preserve WPP FRS capabilities, it is essential to account for the frequency response dynamics of each wind turbine generator (WTG) in the WPP-level dispatch process. However, incorporating these dynamics into dispatch algorithms is complex due to the intricate WTG control strategies required for varying wind conditions. To overcome this challenge, this paper first examines detailed WTG dynamics models to capture key frequency response characteristics. A surrogate modeling approach is then proposed, providing an analytical model that accurately represents WTG FRS dynamics. Leveraging this surrogate model, a short-term WPP dispatch framework is developed, ensuring both precise dispatch command tracking and the preservation of FRS capabilities. Additionally, an efficient solving strategy is introduced to enhance the computational performance of the dispatch model. Case studies demonstrate the effectiveness and robustness of the proposed method, offering a significant advancement in integrating WPPs into frequency regulation frameworks.</t>
        </r>
      </text>
    </comment>
    <comment ref="CC2" authorId="0" shapeId="0" xr:uid="{2F51777E-F4B1-4BA6-9D31-E6851BA9C38B}">
      <text>
        <r>
          <rPr>
            <b/>
            <sz val="9"/>
            <color indexed="81"/>
            <rFont val="Tahoma"/>
            <family val="2"/>
          </rPr>
          <t>pablo gallegos:</t>
        </r>
        <r>
          <rPr>
            <sz val="9"/>
            <color indexed="81"/>
            <rFont val="Tahoma"/>
            <family val="2"/>
          </rPr>
          <t xml:space="preserve">
The Danish system operator, Energinet, has recently introduced an innovative grid code called the $\rm {P90 \ requirement}$, which allows stochastic flexible resources to bid their flexibility in Nordic ancillary service markets, contingent upon a minimum 90% probability of successfully realizing the reserve capacity bid. For limited-energy resources, Energinet imposes additional requirements for participation in these markets. Given these requirements, this paper presents a chance-constrained optimization model designed for aggregators of electric vehicles, aiming to optimally place reserve capacity bids in the Nordic Frequency Containment Reserve for Disturbances (FCR-D) market while accounting for uncertainty in future consumption baselines. We analyze both FCR-D up and down markets, reformulating and solving the proposed joint chance-constrained model using two sample-based methods. Using real data from 1400 charging stations in Denmark from March 2022 to March 2023, we demonstrate the out-of-sample profit potential. Our findings indicate that vehicle owners could save between 6% and 10% on their annual electricity bills by providing FCR-D services. Additionally, we observed a synergy effect, where having more vehicles in a single portfolio enables larger bids per vehicle compared to a collective bid from multiple portfolios with the same total number of vehicles.</t>
        </r>
      </text>
    </comment>
    <comment ref="CD2" authorId="0" shapeId="0" xr:uid="{4007F5B3-0495-4C1C-A34B-432014F6E659}">
      <text>
        <r>
          <rPr>
            <b/>
            <sz val="9"/>
            <color indexed="81"/>
            <rFont val="Tahoma"/>
            <family val="2"/>
          </rPr>
          <t>pablo gallegos:</t>
        </r>
        <r>
          <rPr>
            <sz val="9"/>
            <color indexed="81"/>
            <rFont val="Tahoma"/>
            <family val="2"/>
          </rPr>
          <t xml:space="preserve">
Power systems dominated by converter-interfaced distributed energy resources (DERs) typically exhibit weaker damping capabilities and lower inertia, compromising system stability. Although individual DER controllers are evolving to provide superior oscillation damping capabilities and inertia supports, there is a lack of network-wide coordinated management measures for multiple DERs, potentially leading to unexpected instability and cost-effectiveness problems. To address this gap, this paper introduces a hybrid oscillation damping and inertia management strategy for multiple DERs, considering network coupling effects, and seeks to encourage DERs to provide enhanced damping and inertia with appropriate economic incentives. We first formulate an optimization problem to tune and allocate damping and inertia coefficients for DERs, minimizing associated power and energy costs while ensuring hard constraints for system frequency stability and small-signal stability. The problem is built upon a novel convex parametric formulation that integrates oscillation mode location and frequency trajectory requirements, equipped with a theoretical guarantee, and eliminating the need for iterative tuning and computation burdens. Furthermore, to increase the willingness of DERs to cooperate, we further design appropriate economic incentives to compensate for DERs' costs based on the proposed cost minimization problem, and assess its impact on system cost-efficiency. Numerical tests highlight the effectiveness of the proposed method in promoting system stability and offer insights into potential economic benefits.</t>
        </r>
      </text>
    </comment>
    <comment ref="CE2" authorId="0" shapeId="0" xr:uid="{BA4767CF-4232-482A-A034-5C86FB0943AF}">
      <text>
        <r>
          <rPr>
            <b/>
            <sz val="9"/>
            <color indexed="81"/>
            <rFont val="Tahoma"/>
            <family val="2"/>
          </rPr>
          <t>pablo gallegos:</t>
        </r>
        <r>
          <rPr>
            <sz val="9"/>
            <color indexed="81"/>
            <rFont val="Tahoma"/>
            <family val="2"/>
          </rPr>
          <t xml:space="preserve">
Distributed energy resources (DERs) in distribution systems offer substantial flexibility potential for power system operations, necessitating effective quantification and optimization methods for their utilization. This paper presents a unified time-coupled flexibility cost quantification approach that aligns with time-coupled flexibility models of various types of DER, whether individual or aggregated. The superior capability in accurately capturing the user inconvenience costs compared to traditional power-range-based, time-decoupled methods is demonstrated, thereby enhancing user willingness to provide flexibility to support the power system operation. Based on the quantification method, a DSO optimization model that activates DER flexibility for energy arbitrage and ancillary services provision in the transmission system while maintaining the distribution system's security and economic efficiency, i.e., TSO-DSO coordination, is developed. The optimization model introduces the concept of marginal flexibility prices (MFPs), which quantify the marginal contribution of flexibility in TSO-DSO coordination. Using MFPs for revenue allocation, incentive compatibility, revenue adequacy, and the non-profit status of DSO are guaranteed, enabling the proposed flexibility provision framework to operate sustainably. Numerical tests on the IEEE test system verify the proposed methods.</t>
        </r>
      </text>
    </comment>
    <comment ref="CF2" authorId="0" shapeId="0" xr:uid="{A87AF8F9-43BB-4B3B-B847-AAA87264CE4E}">
      <text>
        <r>
          <rPr>
            <b/>
            <sz val="9"/>
            <color indexed="81"/>
            <rFont val="Tahoma"/>
            <family val="2"/>
          </rPr>
          <t>pablo gallegos:</t>
        </r>
        <r>
          <rPr>
            <sz val="9"/>
            <color indexed="81"/>
            <rFont val="Tahoma"/>
            <family val="2"/>
          </rPr>
          <t xml:space="preserve">
The virtual power plants (VPPs) formed by aggregating distributed energy resources on the demand side have high potential in frequency regulation of power systems. However, due to the complexity of real communication network, diverse communication issues, such as random packets loss and malicious cyber-attacks, may cause undesirable power dispatch and inaccurate dynamic control. This brings great challenges to the participation of VPPs in frequency regulation. To bypass these hurdles, we propose a cyber-physical integration design to facilitate VPPs frequency regulation in a real-time and reliable manner. First, we suggest a joint design scheme of VPPs power dispatch and communication resources allocation for packets loss under cloud-edge collaboration. That is, in the physical-layer, we propose the VPPs power dispatch under packets loss and in the cyber-layer, we develop the communication resources allocation strategy. This scheme aims to eliminate the packets loss impacts and thus determine accurate power dispatch. Second, we present a high reliable information transmission approach for preventing cyber-attacks under edge-end collaboration. Specifically, in the physical-layer, we implement dynamic control for responding to received regulation power and in the cyber-layer, we execute digital signcryption algorithm. Its objective is to improve system information transmission against cyber-attacks and thus ensure the accurate dynamic control. Finally, simulation results validate the feasibility and superiority of our proposed integration design.</t>
        </r>
      </text>
    </comment>
    <comment ref="CG2" authorId="0" shapeId="0" xr:uid="{3B46A179-5E1D-4D78-9058-B14D9C14F93E}">
      <text>
        <r>
          <rPr>
            <b/>
            <sz val="9"/>
            <color indexed="81"/>
            <rFont val="Tahoma"/>
            <family val="2"/>
          </rPr>
          <t>pablo gallegos:</t>
        </r>
        <r>
          <rPr>
            <sz val="9"/>
            <color indexed="81"/>
            <rFont val="Tahoma"/>
            <family val="2"/>
          </rPr>
          <t xml:space="preserve">
A computationally efficient and accurate reduced-order model (ROM) that characterizes the time-scale coupling caused by the high penetration of power-electronic converters in microgrids (MGs) is crucial to system stability analysis. When such MGs are interconnected into multi-microgrids (MMGs), the coupling between fast and slow dynamics will be more complicated due to the interactions among each MG. The traditional ROM without concerning dynamic coupling may lead to low accuracy and even misjudgment of system stability. In this paper, by considering primary energy dynamics of renewable energy sources, e.g., doubly-fed induction generator (DFIG) and photovoltaic (PV), a small-signal model that characterizes the practical multi-timescale of MMGs is firstly presented. Then with the division of the entire MMGs into fast and slow dynamic subsystems based on the assumption of time-scale separating, the coupling dynamics are identified via the residues-based method. Finally, a ROM considering coupling dynamics and preserving physical meaning is proposed by reconfiguring the fast and slow dynamic subsystems based on singular perturbation. The accuracy of the proposed ROM is verified by comparing it with the detailed model under different control parameters, wind speeds and irradiance conditions. The time-domain simulation is employed to validate the dynamic response of the proposed ROM.</t>
        </r>
      </text>
    </comment>
    <comment ref="CH2" authorId="0" shapeId="0" xr:uid="{68E19E7A-E763-4422-8661-E3CEB89CF2F6}">
      <text>
        <r>
          <rPr>
            <b/>
            <sz val="9"/>
            <color indexed="81"/>
            <rFont val="Tahoma"/>
            <family val="2"/>
          </rPr>
          <t>pablo gallegos:</t>
        </r>
        <r>
          <rPr>
            <sz val="9"/>
            <color indexed="81"/>
            <rFont val="Tahoma"/>
            <family val="2"/>
          </rPr>
          <t xml:space="preserve">
The interconnected converter (IC) links the ac and dc microgrids (MGs) and exchanges powers to maintain the hybrid system stability. However, inertia stored in the ac or dc side cannot be transferred through IC to support each other flexibly according to demand. This article proposes a novel bidirectional virtual inertia (BVI) control strategy for the IC with an inertia transferring mechanism. IC actively transfers the inertial power to balance the transient performance of both sides of the interconnected MGs. The adaptive strategy is proposed for coefficients of the BVI control to change the inertial power flexibly according to the inertia gap caused by disturbances. Experimental results demonstrate that the proposed strategy of transferring inertia strikes a transient balance between the dc voltage and ac frequency and hence, enhance the transient stability of the hybrid system.</t>
        </r>
      </text>
    </comment>
    <comment ref="CI2" authorId="0" shapeId="0" xr:uid="{755CECA0-0470-428F-A904-18539FC4C697}">
      <text>
        <r>
          <rPr>
            <b/>
            <sz val="9"/>
            <color indexed="81"/>
            <rFont val="Tahoma"/>
            <family val="2"/>
          </rPr>
          <t>pablo gallegos:</t>
        </r>
        <r>
          <rPr>
            <sz val="9"/>
            <color indexed="81"/>
            <rFont val="Tahoma"/>
            <family val="2"/>
          </rPr>
          <t xml:space="preserve">
This work considers the European Resource Adequacy Assessment, which is a pan-European resource adequacy process that is being developed by the European Networks of Transmission System Operators for Electricity (ENTSO-E). A critical part of this process is the so-called Economic Viability Assessment model, which aims at determining future expansion and retirement capacity opportunities for the entire European network. As such, the problem is stochastic. Nevertheless, due to computational constraints, simplified approaches have been followed by ENTSO-E. Our work formulates the problem as a two-stage stochastic problem and proposes two decomposition algorithms for solving the problem which are implemented in a high-performance computing infrastructure. The first is a subgradient-based algorithm, and the second uses a relaxation of the second stage (the economic dispatch) in order to speed up the subgradient calculation thus achieving a considerable reduction in solution time. We compare our schemes against the commonly used Bender's decomposition. We compare the obtained stochastic solution against the deterministic solution proposed by ENTSO-E for their 2021 study and analyze the impact of the stochastic solution on various adequacy indicators.</t>
        </r>
      </text>
    </comment>
    <comment ref="CJ2" authorId="0" shapeId="0" xr:uid="{FF5E4F08-6A2A-4CB3-9CDF-BE29FC42E27C}">
      <text>
        <r>
          <rPr>
            <b/>
            <sz val="9"/>
            <color indexed="81"/>
            <rFont val="Tahoma"/>
            <family val="2"/>
          </rPr>
          <t>pablo gallegos:</t>
        </r>
        <r>
          <rPr>
            <sz val="9"/>
            <color indexed="81"/>
            <rFont val="Tahoma"/>
            <family val="2"/>
          </rPr>
          <t xml:space="preserve">
Electricity market designs involving block orders have been recently gaining momentum, since they enable participants to implicitly express their operating characteristics, instead of explicitly disclosing them to the market operator, and address the effects of the increasing price uncertainty. However, the existing literature on optimizing participants' offering decisions in such markets has focused on generation participants, while it has not considered stand-alone energy storage participants, as well as a new type of block orders which has been specifically introduced to encapsulate the operating characteristics of storage - namely loop blocks (LB). This paper addresses this research gap by proposing a novel optimal offering model for a price-taking storage participant, which allows the representation and optimization of LB, while accounting for the price uncertainty encountered by the storage participant. The value of LB in increasing the storage participant's profitability and the computational performance of the proposed model are comprehensively analyzed, through both illustrative, small-scale (with respect to the number of considered price scenarios) studies and more realistic, large-scale studies considering two different storage technologies (battery storage and pumped-hydro storage).</t>
        </r>
      </text>
    </comment>
    <comment ref="CK2" authorId="0" shapeId="0" xr:uid="{630513E3-5A5A-41C3-97FC-FF149E332F9B}">
      <text>
        <r>
          <rPr>
            <b/>
            <sz val="9"/>
            <color indexed="81"/>
            <rFont val="Tahoma"/>
            <family val="2"/>
          </rPr>
          <t>pablo gallegos:</t>
        </r>
        <r>
          <rPr>
            <sz val="9"/>
            <color indexed="81"/>
            <rFont val="Tahoma"/>
            <family val="2"/>
          </rPr>
          <t xml:space="preserve">
Worldwide ambitions to combat climate change have expedited the penetration of renewables and decarbonization. Multienergy systems (MES), where different energy systems are optimally coordinated, have been recognized as a key element in future low-carbon energy operations. However, MES operations involve intense exchanges of information and control signals, thereby intensify the risk of cyberattacks. Existing cybersecurity research mainly focuses on a single-energy system, with only a few pioneering cybersecurity analyses for MES focusing on uncoordinated cyberattacks. A lack of detailed discussion and analysis on the optimally coordinated cyberattack targeting MES prevents operators from accurately evaluating the potential damages of cyberattack in MES operations. Therefore, this article first proposes an optimally coordinated false data injection attack (OC-FDIA) against MES, where attacks from different energy systems are coordinated to disturb the MES operation. Then, we show that the OC-FDIA can cause synergetic effects leading to much more severe damage than single-system FDIAs and uncoordinated FDIAs. Further, an effective countermeasure is developed to mitigate the OC-FDIA based on deep learning (DL). Eventually, the proposed OC-FDIA and its countermeasures are demonstrated through integrated electricity and gas test systems.</t>
        </r>
      </text>
    </comment>
    <comment ref="CL2" authorId="0" shapeId="0" xr:uid="{653F80D1-33E4-4363-9CD7-E44414610DC7}">
      <text>
        <r>
          <rPr>
            <b/>
            <sz val="9"/>
            <color indexed="81"/>
            <rFont val="Tahoma"/>
            <family val="2"/>
          </rPr>
          <t>pablo gallegos:</t>
        </r>
        <r>
          <rPr>
            <sz val="9"/>
            <color indexed="81"/>
            <rFont val="Tahoma"/>
            <family val="2"/>
          </rPr>
          <t xml:space="preserve">
The uncertainty of electricity prices poses a challenge to all market participants as their decisions highly depend on the accuracy of price forecasts. Prediction intervals become an efficient method to quantify the uncertainties that reside in electricity price forecasts. In this paper, we propose a probabilistic electricity price forecast with optimal prediction interval method that considers both reliability and sharpness requirements. Taking reliability and sharpness into account, we ensure the prediction interval has a narrow width without sacrificing reliability. In the proposed method, the quantile regression is utilized to estimate the upper and lower bounds of the prediction intervals to avoid electricity price distribution assumption. In addition, the extreme learning machine (ELM) method is embedded in the forecast method to capture the nonlinear relationship within price data, and its tuning parameters are optimized using the augmented Lagrangian relaxation method in this paper. The effectiveness of the proposed probabilistic forecast method is demonstrated using data from various electricity markets.</t>
        </r>
      </text>
    </comment>
    <comment ref="CM2" authorId="0" shapeId="0" xr:uid="{70AE5DE5-60CB-4B42-99A5-733060F3A13D}">
      <text>
        <r>
          <rPr>
            <b/>
            <sz val="9"/>
            <color indexed="81"/>
            <rFont val="Tahoma"/>
            <family val="2"/>
          </rPr>
          <t>pablo gallegos:</t>
        </r>
        <r>
          <rPr>
            <sz val="9"/>
            <color indexed="81"/>
            <rFont val="Tahoma"/>
            <family val="2"/>
          </rPr>
          <t xml:space="preserve">
Multi-infeed LCC-HVDC decreases voltage stability margins due to its current source nature. Moreover, the high penetration of variable renewable energy makes it difficult to reserve enough margins for all periods. Therefore, voltage stability constraints need to be considered in the scheduling stage. However, the challenge is that the voltage stability margin is not analytic with respect to state variables. We propose a sparse support vector machine to extract the nonlinear voltage stability rule. To embed the rule into economic dispatch (ED), we apply a convex reformulating technique to the rule and then formulate a voltage stability constrained ED (VSCED) model by semi-definite programming. The model is tested on a modified IEEE-14 system and a real-world system from Jiangsu Province, China; and it is compared with other typical data-driven-based models in the Jiangsu system. The numerical experiments suggest that the stability margins can be effectively reserved above the required threshold within an acceptable computation time by the proposed VSCED model, which outperforms the other models.</t>
        </r>
      </text>
    </comment>
    <comment ref="CN2" authorId="0" shapeId="0" xr:uid="{E6A64AEA-0BCE-47EA-9575-D3630899FE7F}">
      <text>
        <r>
          <rPr>
            <b/>
            <sz val="9"/>
            <color indexed="81"/>
            <rFont val="Tahoma"/>
            <family val="2"/>
          </rPr>
          <t>pablo gallegos:</t>
        </r>
        <r>
          <rPr>
            <sz val="9"/>
            <color indexed="81"/>
            <rFont val="Tahoma"/>
            <family val="2"/>
          </rPr>
          <t xml:space="preserve">
Distribution grid reliability and resilience has become a major topic of concern for utilities and their regulators. In particular, with the increase in severity of extreme events, utilities are considering major investments in distribution grid assets to mitigate the damage of highly impactful outages. Communicating the overall economic and risk-mitigation benefits of these investments to regulators is an important element of the approval process. Today, industry reliability and resilience planning practices are based largely on methods that do not take explicit account of risk. This paper proposes a practical method for identifying optimal combinations of investments in new line segments and storage devices while considering the balance between the risk associated with high impact and low probability (HILP) events and the reliability related to routine failures. We show that this method can be scaled to address large scale networks and demonstrate its benefits using a Target Feeder from the Commonwealth Edison Reliability Program.</t>
        </r>
      </text>
    </comment>
    <comment ref="CO2" authorId="0" shapeId="0" xr:uid="{9FF24A97-C979-47E3-A3ED-E22CC6E0562C}">
      <text>
        <r>
          <rPr>
            <b/>
            <sz val="9"/>
            <color indexed="81"/>
            <rFont val="Tahoma"/>
            <family val="2"/>
          </rPr>
          <t>pablo gallegos:</t>
        </r>
        <r>
          <rPr>
            <sz val="9"/>
            <color indexed="81"/>
            <rFont val="Tahoma"/>
            <family val="2"/>
          </rPr>
          <t xml:space="preserve">
The integration of a large number of renewable energy sources (RES) into the micro-energy grid (MEG) brings certain challenges to its optimal dispatching, especially the impact of RES and load prediction error on optimal dispatching. Therefore, this article proposes a multi-timescale coordinated optimization framework for economic dispatch of MEG considering prediction error, including three stages: day-ahead economic dispatch, intra-day rolling optimization and real-time adjustment. In the day-ahead and intra-day stages, the device's output is solved with the objective of optimal system economy. The MEG is divided into three subsystems in the real-time adjustment stage using distributed model predictive control (DMPC). The subsystems cooperate to correct the intra-day device output, which reduces the complexity of solving system optimization problems. Meanwhile, considering that the prediction horizon in DMPC usually remains constant during the optimization, which affects the control performance of DMPC. This article analyzes the impact of the prediction horizon and control horizon on the control performance of DMPC. Then a DMPC method with adaptive adjustment of the prediction horizon according to the prediction errors of RES and loads power is proposed, which can balance the stability and prediction accuracy of the system. Finally, the case studies verify the feasibility of the proposed strategy.</t>
        </r>
      </text>
    </comment>
    <comment ref="CP2" authorId="0" shapeId="0" xr:uid="{3B18F838-B595-4C4E-A469-A97822E18E3D}">
      <text>
        <r>
          <rPr>
            <b/>
            <sz val="9"/>
            <color indexed="81"/>
            <rFont val="Tahoma"/>
            <family val="2"/>
          </rPr>
          <t>pablo gallegos:</t>
        </r>
        <r>
          <rPr>
            <sz val="9"/>
            <color indexed="81"/>
            <rFont val="Tahoma"/>
            <family val="2"/>
          </rPr>
          <t xml:space="preserve">
The letter proposes for the first time a methodology to compute analytical functions approximating the cost curves of active or reactive power aggregated flexibility in the short-term operation of an active distribution system. These piece-wise linear functions can be embedded seamlessly in the tools for flexibility procurement to meet transmission grid security. The methodology tailors AC optimal power flow and power flow calculations to four proposed relevant flexibility provision cases.</t>
        </r>
      </text>
    </comment>
    <comment ref="CQ2" authorId="0" shapeId="0" xr:uid="{C1D8A54C-A4A8-45E6-B094-34C7A3962CE9}">
      <text>
        <r>
          <rPr>
            <b/>
            <sz val="9"/>
            <color indexed="81"/>
            <rFont val="Tahoma"/>
            <family val="2"/>
          </rPr>
          <t>pablo gallegos:</t>
        </r>
        <r>
          <rPr>
            <sz val="9"/>
            <color indexed="81"/>
            <rFont val="Tahoma"/>
            <family val="2"/>
          </rPr>
          <t xml:space="preserve">
In order to minimize power supply interruption to customers, power system restoration needs to be performed rapidly after a blackout. With the integration of intermittent renewable energy and flexible loads, power system load patterns are becoming more uncertain. The goal of this article is to tackle the challenging task of developing a secure yet speedy load restoration planning strategy considering load uncertainty. The key is to leverage the real-time measurements of the restored load blocks to refine the statistical knowledge about the unrestored load blocks derived from historical data, such that the load restoration plans can be less conservative without harming security. Specifically, as the restoration process rolls forward and more loads are restored, we use a Kalman filter to update the probability distribution of the unrestored loads using the newly available measurements from the restored loads. With the updated distribution, a rolling-horizon load restoration problem for load-pickup decision making is formulated with given specified confidence levels under frequency, voltage, and power flow constraints. The effectiveness of the proposed method is evaluated through case studies on the IEEE 39-bus test system and the NPCC 140-bus system. Results demonstrate that the proposed method can restore loads more quickly and securely than conventional methods under load uncertainty.</t>
        </r>
      </text>
    </comment>
    <comment ref="CR2" authorId="0" shapeId="0" xr:uid="{CF8DD13B-910D-4A55-A35F-2CB8D3C17119}">
      <text>
        <r>
          <rPr>
            <b/>
            <sz val="9"/>
            <color indexed="81"/>
            <rFont val="Tahoma"/>
            <family val="2"/>
          </rPr>
          <t>pablo gallegos:</t>
        </r>
        <r>
          <rPr>
            <sz val="9"/>
            <color indexed="81"/>
            <rFont val="Tahoma"/>
            <family val="2"/>
          </rPr>
          <t xml:space="preserve">
For undersea observation networks, accurate fault location is required to reduce repair costs and time. A main technical challenge for this task is the presence of poor-quality data caused by the cascading failure from undersea power networks to the sensors and communication networks. This article proposes a leakage-current vector (LCV) based fault location method for the negative-pole DC network to address this issue. LCVs are obtained through the nodal admittance matrix considering the electrodes which react in the seawater to provide the return path for the negative pole. The attribute of LCVs is used to identify the anomalous, corrupted and missing data. A novel KCL-based data imputation method is proposed to correct the LCVs, which are compared with measurements to obtain the fault distance and fault resistance. The simulation model of north-east pacific time-series undersea networked experiments (NEPTUNE) is established in PSCAD/EMTDC to validate the proposed method. The results show a 23% improvement in fault location accuracy compared with data-interpolation-based methods.</t>
        </r>
      </text>
    </comment>
    <comment ref="CS2" authorId="0" shapeId="0" xr:uid="{60FBD66E-F8E9-4060-A3E1-2275B5719680}">
      <text>
        <r>
          <rPr>
            <b/>
            <sz val="9"/>
            <color indexed="81"/>
            <rFont val="Tahoma"/>
            <family val="2"/>
          </rPr>
          <t>pablo gallegos:</t>
        </r>
        <r>
          <rPr>
            <sz val="9"/>
            <color indexed="81"/>
            <rFont val="Tahoma"/>
            <family val="2"/>
          </rPr>
          <t xml:space="preserve">
Multiple line outages that occur together show a variety of spatial patterns in the power transmission network. Some of these spatial patterns form network contingency motifs, which we define as the patterns of multiple outages that occur much more frequently than multiple outages chosen randomly from the network. We show that choosing N-k contingencies from these commonly occurring contingency motifs accounts for most of the probability of multiple initiating line outages. This result is demonstrated using historical outage data for two transmission systems. It enables N-k contingency lists that are much more efficient in accounting for the likely multiple initiating outages than exhaustive listing or random selection. The N-k contingency lists constructed from motifs can improve risk estimation in cascading outage simulations and help to confirm utility contingency selection.</t>
        </r>
      </text>
    </comment>
    <comment ref="CT2" authorId="0" shapeId="0" xr:uid="{AE02DD0B-BCD4-49D8-B0FE-741AE23389B4}">
      <text>
        <r>
          <rPr>
            <b/>
            <sz val="9"/>
            <color indexed="81"/>
            <rFont val="Tahoma"/>
            <family val="2"/>
          </rPr>
          <t>pablo gallegos:</t>
        </r>
        <r>
          <rPr>
            <sz val="9"/>
            <color indexed="81"/>
            <rFont val="Tahoma"/>
            <family val="2"/>
          </rPr>
          <t xml:space="preserve">
Low-inertia power grids could suffer from large frequency excursions under even small power disturbances. When a voltage source converter-based high voltage direct current (VSC-HVDC) system is used to integrate a low-inertia grid into a main grid, an ancillary frequency support service can be provided to the low-inertia grid by the VSC-HVDC system. This paper proposes a perturbation observer-based fast frequency support controller (POFFS) of VSC-HVDC systems to improve the frequency stability of low-inertia power grids. According to the feedback linearization and the high gain observer technique, the perturbation observer of the inverter station is designed to estimate the comprehensive impact of multiple perturbations, including the power disturbances in low-inertia grids, the uncertainty of grid inertia, and unknown nonlinear dynamics. The estimate of the perturbations are further compensated by the feedback control loop to achieve robust frequency regulation. Compared with the conventional frequency controller, the proposed POFFS can provide better frequency support to low-inertia power grids, without requiring an accurate system model and parameters. Two test systems are used to verify the effectiveness of the proposed POFFS.</t>
        </r>
      </text>
    </comment>
    <comment ref="CU2" authorId="0" shapeId="0" xr:uid="{C79DE4AE-BA2E-4743-AB48-4D24B0A0A4CE}">
      <text>
        <r>
          <rPr>
            <b/>
            <sz val="9"/>
            <color indexed="81"/>
            <rFont val="Tahoma"/>
            <family val="2"/>
          </rPr>
          <t>pablo gallegos:</t>
        </r>
        <r>
          <rPr>
            <sz val="9"/>
            <color indexed="81"/>
            <rFont val="Tahoma"/>
            <family val="2"/>
          </rPr>
          <t xml:space="preserve">
Increased penetration of renewable energy sources (RES) has brought challenges to load modelling techniques. This paper proposes a synthesis load model with RES (SLMR), and elaborates related industrial practice conducted by China Electric Power Research Institute. Several practical issues are addressed in designing and implementing SLMR, such as load survey and representation of different types of RESs. Besides, three new modelling concerns brought by RESs are novelly addressed in the paper, i.e., aggregation of various RES parameters, consideration of various RES terminal voltage, and additional line loss due to RES response. Parameterization of the SLMR calibrates widely varied node voltage in distribution grid, and aggregates them to one equivalent node. The proposed SLMR is practically applied in industrial works, which is demonstrated in the paper.</t>
        </r>
      </text>
    </comment>
    <comment ref="CV2" authorId="0" shapeId="0" xr:uid="{977EA762-85A3-430A-A6D1-F71656BB3A37}">
      <text>
        <r>
          <rPr>
            <b/>
            <sz val="9"/>
            <color indexed="81"/>
            <rFont val="Tahoma"/>
            <family val="2"/>
          </rPr>
          <t>pablo gallegos:</t>
        </r>
        <r>
          <rPr>
            <sz val="9"/>
            <color indexed="81"/>
            <rFont val="Tahoma"/>
            <family val="2"/>
          </rPr>
          <t xml:space="preserve">
As renewable generation and energy storage systems become increasingly cost-effective, modern power systems are increasingly reliant on variable energy resources (VERs) to meet demand. However, the variability and uncertainty of VERs' generation require additional flexibility to mitigate their impacts. Unfortunately, the current power market designs rigidly define different power and reserve products, making it difficult to fully recognize and compensate for this flexibility. Furthermore, since the marginal operating costs of the system quickly approach zero, current marginal cost-based market mechanisms struggle to provide price signals that allow independent power producers to make informed decisions about constructing, operating, and retiring plants. To address these issues, this article proposes a new linked electricity market design based on swing contracts for operating power systems with high penetration of VERs and energy storage resources. The feasibility of the proposed approach is demonstrated through study results on the modified IEEE 118-bus test system.</t>
        </r>
      </text>
    </comment>
    <comment ref="CW2" authorId="0" shapeId="0" xr:uid="{7A98CBE0-6328-4485-BBB7-3708713E164A}">
      <text>
        <r>
          <rPr>
            <b/>
            <sz val="9"/>
            <color indexed="81"/>
            <rFont val="Tahoma"/>
            <family val="2"/>
          </rPr>
          <t>pablo gallegos:</t>
        </r>
        <r>
          <rPr>
            <sz val="9"/>
            <color indexed="81"/>
            <rFont val="Tahoma"/>
            <family val="2"/>
          </rPr>
          <t xml:space="preserve">
Renewable energy producer is often exposed to huge financial losses in some imbalance hours (meaning that the contracted energy in day-ahead market is not equal to the actual output in real time) caused by extremely large forecast error. To address this challenge, this paper integrates the forecast end-user's risk profile into the development of risk-averse combining forecast approach for renewable energy trading. First, the conditional value-at-risk (CVaR) is applied to evaluate the extreme prediction error of combined forecasts. Then, convex optimization models are formulated with the objective of minimizing the mean square error plus the CVaR of large error. Solving our proposed models determines the optimal weights for individual models participating in the combined forecasts. Finally, the value of risk-averse combined forecasts is verified through examining the financial performance of using risk-averse forecasts as inputs of the bidding strategy in renewable energy trading. Case studies on real-world datasets present that our proposed method not only reduces the mean error but also lowers the extreme error. More importantly, it decreases the imbalance energy and cost in renewable energy trading, thus being less exposed to the risk of large financial losses under extreme prediction errors.</t>
        </r>
      </text>
    </comment>
    <comment ref="CX2" authorId="0" shapeId="0" xr:uid="{5A8E4033-25C7-43FF-9AB7-C5B7FACF2D9F}">
      <text>
        <r>
          <rPr>
            <b/>
            <sz val="9"/>
            <color indexed="81"/>
            <rFont val="Tahoma"/>
            <family val="2"/>
          </rPr>
          <t>pablo gallegos:</t>
        </r>
        <r>
          <rPr>
            <sz val="9"/>
            <color indexed="81"/>
            <rFont val="Tahoma"/>
            <family val="2"/>
          </rPr>
          <t xml:space="preserve">
Long-term load forecasting (LTLF) models play an important role in the strategic planning of power systems around the globe. Obtaining correct decisions on power network expansions or restrictions based on predictions help substantially reduce the power grid infrastructure costs. The classical approach of LTLF is limited to the usage of artificial neural networks (ANN) or regression-based approaches along with a large set of historical electricity load, weather, economy and population data. Considering the drawbacks of classical methods, this article introduces a novel sequence to sequence hybrid convolutional neural network and long short-term memory (CNN-LSTM) model to forecast the monthly peak load for a time horizon of three years. These drawbacks include, lack of sensitivity to changing trends over long time horizons, difficulty of fitting large number of variables and complex relationships, etc. (Velicer and Plummer, 1998). Forecasting time interval plays a key role in LTLF. Therefore, using monthly peak load avoids unnecessary complications while providing all essential information for a good long-term strategical planning. The accuracy of the proposed method is verified by the load data of "New South Wales (NSW)", Australia. The numerical results show that, proposed method has achieved higher prediction accuracy compared to the existing work on long-term load forecasting.</t>
        </r>
      </text>
    </comment>
    <comment ref="CY2" authorId="0" shapeId="0" xr:uid="{4AF541D7-DAB3-46BE-9030-00CA247EA015}">
      <text>
        <r>
          <rPr>
            <b/>
            <sz val="9"/>
            <color indexed="81"/>
            <rFont val="Tahoma"/>
            <family val="2"/>
          </rPr>
          <t>pablo gallegos:</t>
        </r>
        <r>
          <rPr>
            <sz val="9"/>
            <color indexed="81"/>
            <rFont val="Tahoma"/>
            <family val="2"/>
          </rPr>
          <t xml:space="preserve">
Machine learning (ML) for transient stability assessment has gained traction due to the significant increase in computational requirements as renewables connect to power systems. To achieve a high degree of accuracy; black-box ML models are often required - inhibiting interpretation of predictions and consequently reducing confidence in the use of such methods. This paper proposes the use of SHapley Additive exPlanations (SHAP) - a unifying interpretability framework based on Shapley values from cooperative game theory - to provide insights into ML models that are trained to predict critical clearing time (CCT). We use SHAP to obtain explanations of location-specific ML models trained to predict CCT at each busbar on the network. This can provide unique insights into power system variables influencing the entire stability boundary under increasing system complexity and uncertainty. Subsequently, the covariance between a variable of interest and the corresponding SHAP values from each location-specific ML model - can reveal how a change in that variable impacts the stability boundary throughout the network. Such insights can inform planning and/or operational decisions. The case study provided demonstrates the method using a highly accurate opaque ML algorithm in the IEEE 39-bus test network with Type IV wind generation.</t>
        </r>
      </text>
    </comment>
    <comment ref="CZ2" authorId="0" shapeId="0" xr:uid="{D925D524-F118-4ADD-A55D-9A932A07961A}">
      <text>
        <r>
          <rPr>
            <b/>
            <sz val="9"/>
            <color indexed="81"/>
            <rFont val="Tahoma"/>
            <family val="2"/>
          </rPr>
          <t>pablo gallegos:</t>
        </r>
        <r>
          <rPr>
            <sz val="9"/>
            <color indexed="81"/>
            <rFont val="Tahoma"/>
            <family val="2"/>
          </rPr>
          <t xml:space="preserve">
This paper proposes a distributed data-driven optimization framework for voltage regulation in distribution systems. The recursive kernel regression and alternating direction method of multipliers (ADMM) are selected to cover the system learning and distributed optimization tasks. The proposed distributed data-driven framework is capable of having a rapid response to system or load changes while considering the operation optimality. Besides, the distributed algorithm parallels the computation tasks and reduces the computational expense of a single agent. To validate the performance of the proposed method, a hypothetical 7-Bus system and the IEEE 123-Bus system are selected to show the effectiveness of the proposed data-driven framework. According to the numerical study results, the proposed method offers great flexibility for selecting customized kernel models for different regions and can effectively improve the system voltage profile in a distributed manner.</t>
        </r>
      </text>
    </comment>
    <comment ref="DA2" authorId="0" shapeId="0" xr:uid="{A5F5CB4D-C0D9-40AA-A5C9-61D50EC985B7}">
      <text>
        <r>
          <rPr>
            <b/>
            <sz val="9"/>
            <color indexed="81"/>
            <rFont val="Tahoma"/>
            <family val="2"/>
          </rPr>
          <t>pablo gallegos:</t>
        </r>
        <r>
          <rPr>
            <sz val="9"/>
            <color indexed="81"/>
            <rFont val="Tahoma"/>
            <family val="2"/>
          </rPr>
          <t xml:space="preserve">
Converting renewable energy into ammonia has been recognized as a promising way to realize "green hydrogen substitution" in the chemical industry. However, renewable power to ammonia (RePtA) requires an essential investment in facilities to provide a buffer against the strong volatility of renewable energy and the limited flexibility of ammonia synthesis, which involves the three main stakeholders, namely, power, hydrogen, and ammonia. Therefore, the sizing and pricing of RePtA play a core role in balancing the interest demands of investors. This article proposes an optimal sizing and pricing method for grid-connected RePtA systems planning. First, power to ammonia (P2A) is modeled as a flexible load, especially considering the limited flexibility of ammonia synthesis, which has been verified using real dynamic regulation data. Second, the multi-investor economic (MIE) model is established considering both external and internal trading modes. Then, a two-stage decomposed sizing and pricing method is proposed to solve the problem caused by the strong coupling of planning, operation, and trading. The information gap decision theory (IGDT) method is utilized to handle the uncertainty of renewable generation. Finally, real data from a real-life system in Inner Mongolia are utilized to verify the proposed approach. The results show that the system proposed has an internal rate of return (IRR) of 8.55%, which indicates the practical feasibility of the proposed planning method.</t>
        </r>
      </text>
    </comment>
    <comment ref="DB2" authorId="0" shapeId="0" xr:uid="{A58F9143-D19E-4482-9C16-DA7AEFB52837}">
      <text>
        <r>
          <rPr>
            <b/>
            <sz val="9"/>
            <color indexed="81"/>
            <rFont val="Tahoma"/>
            <family val="2"/>
          </rPr>
          <t>pablo gallegos:</t>
        </r>
        <r>
          <rPr>
            <sz val="9"/>
            <color indexed="81"/>
            <rFont val="Tahoma"/>
            <family val="2"/>
          </rPr>
          <t xml:space="preserve">
We develop multi-stage linear decision rules (LDRs) for dynamic power system generation and energy storage investment planning under uncertainty and propose their chance-constrained optimization with performance guarantees. First, the optimized LDRs guarantee operational and carbon policy feasibility of the resulting dynamic investment plan even when the planning uncertainty distribution is ambiguous. Second, the optimized LDRs internalize the tolerance of the system planner towards the stochasticity (variance) of uncertain investment outcomes. They can eventually produce a quasi-deterministic investment plan, which is insensitive to uncertainty (as in deterministic planning) but robust to its realizations (as in stochastic planning). Last, we certify the performance of the optimized LDRs with the bound on their sub-optimality due to their linear functional form. Using this bound, we guarantee that the preference of LDRs over less restrictive - yet poorly scalable - scenario-based optimization does not lead to financial losses exceeding this bound. We use a testbed of the U.S. Southeast power system to reveal the trade-offs between the cost, stochasticity, and feasibility of LDR-based investments. We also conclude that the LDR sub-optimality depends on the amount of uncertainty and the tightness of chance constraints on operational, investment and policy variables.</t>
        </r>
      </text>
    </comment>
    <comment ref="DC2" authorId="0" shapeId="0" xr:uid="{1839BE49-0B61-4653-AA2B-79E915B720D9}">
      <text>
        <r>
          <rPr>
            <b/>
            <sz val="9"/>
            <color indexed="81"/>
            <rFont val="Tahoma"/>
            <family val="2"/>
          </rPr>
          <t>pablo gallegos:</t>
        </r>
        <r>
          <rPr>
            <sz val="9"/>
            <color indexed="81"/>
            <rFont val="Tahoma"/>
            <family val="2"/>
          </rPr>
          <t xml:space="preserve">
Trajectory sensitivity (TS) is a powerful alternative to linearize strong-nonlinear transient stability patterns. However, due to its incomplete view of an intact power system operational space, it can be readily to drive preventive control to stuck in local stationary solution. To mitigate this issue, an integrated gradient (IG)-based stepwise control method is proposed. The key idea is to develop IG to enable a control sensitivity taking both merits of local and global sensitivity, further help preventive control escape from local stationary points. Particularly, deep belief network (DBN) is firstly utilized to parameterize pattern between transient stability index (TSI) and steady-state dispatches. It is then leveraged to infer IG to linearize transient stability constraints in real-time. Interior point method is employed to solve the linearized model. A stepwise control strategy is finally proposed to adaptively tune the integrated interval of the applied IG, such that the preventive control path can be ensured to follow the trend of improving transient stability. Case studies on two benchmarks show that the proposed method outperforms traditional TS method in terms of efficiency and economy, and provides a promising way to enhance engineering sensitivity methods.</t>
        </r>
      </text>
    </comment>
    <comment ref="DD2" authorId="0" shapeId="0" xr:uid="{82F26F6F-518B-4B46-8C70-4F941706517E}">
      <text>
        <r>
          <rPr>
            <b/>
            <sz val="9"/>
            <color indexed="81"/>
            <rFont val="Tahoma"/>
            <family val="2"/>
          </rPr>
          <t>pablo gallegos:</t>
        </r>
        <r>
          <rPr>
            <sz val="9"/>
            <color indexed="81"/>
            <rFont val="Tahoma"/>
            <family val="2"/>
          </rPr>
          <t xml:space="preserve">
Due to the missing money problem, it is a challenging task to maintain generation capacity adequacy with increasing shares of zero-marginal-cost renewable energy resources. Multiple capacity adequacy mechanisms (CAMs), such as scarcity pricing, capacity payment, capacity market, and reliability option, have been proposed and implemented, each having its own pros and cons. Here, we propose a hybrid CAM called optional option. The hybrid CAM allows scarcity pricing and reliability option to co-exist. Market participants, with diverse degrees of risk aversion and diverse forecasts of future duration of scarcity, can self-select the CAM best suited to themselves. We also present a method to efficiently derive the generation mix equilibrium under the CAM, by using the theory that the profits of all generator types approach zero in the long-term equilibrium. Simulation results show that the proposed CAM enables Pareto improvement by letting market participants be better off than being restricted to only one CAM. The results also show the effectiveness of the algorithm to calculate the generation mix equilibrium.</t>
        </r>
      </text>
    </comment>
    <comment ref="DE2" authorId="0" shapeId="0" xr:uid="{C93A3A57-A00E-401F-82A7-B343E94A80A9}">
      <text>
        <r>
          <rPr>
            <b/>
            <sz val="9"/>
            <color indexed="81"/>
            <rFont val="Tahoma"/>
            <family val="2"/>
          </rPr>
          <t>pablo gallegos:</t>
        </r>
        <r>
          <rPr>
            <sz val="9"/>
            <color indexed="81"/>
            <rFont val="Tahoma"/>
            <family val="2"/>
          </rPr>
          <t xml:space="preserve">
This paper proposes a data-driven graphical framework for the real-time search of risky cascading fault chains (FCs). While identifying risky FCs is pivotal to alleviating cascading failures, the complex spatio-temporal dependencies among the components of the power system render challenges to modeling and analyzing FCs. Furthermore, the real-time search of risky FCs faces an inherent combinatorial complexity that grows exponentially with the size of the system. The proposed framework leverages the recent advances in graph recurrent neural networks to circumvent the computational complexities of the real-time search of FCs. The search process is formalized as a partially observable Markov decision process (POMDP), which is subsequently solved via a time-varying graph recurrent neural network (GRNN) that judiciously accounts for the inherent temporal and spatial structures of the data generated by the system. The key features of this structure include (i) leveraging the spatial structure of the data induced by the system topology, (ii) leveraging the temporal structure of data induced by system dynamics, and (iii) efficiently summarizing the system's history in the latent space of the GRNN. The proposed framework's efficiency is compared to the relevant literature on the IEEE 39-bus New England system and the IEEE 118-bus system.</t>
        </r>
      </text>
    </comment>
    <comment ref="D3" authorId="0" shapeId="0" xr:uid="{E7EDE2E0-46DE-482C-A283-EEEB1DC3BF64}">
      <text>
        <r>
          <rPr>
            <b/>
            <sz val="9"/>
            <color indexed="81"/>
            <rFont val="Tahoma"/>
            <family val="2"/>
          </rPr>
          <t>pablo gallegos:</t>
        </r>
        <r>
          <rPr>
            <sz val="9"/>
            <color indexed="81"/>
            <rFont val="Tahoma"/>
            <family val="2"/>
          </rPr>
          <t xml:space="preserve">
Select the main program for each abstract from the dropdown in row 3.</t>
        </r>
      </text>
    </comment>
    <comment ref="DK5" authorId="0" shapeId="0" xr:uid="{7D8232C3-ADCF-451B-B785-305D809DBFB2}">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6" authorId="0" shapeId="0" xr:uid="{CEBB00BF-0FC4-40D4-8FFC-0E416002B9E8}">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7" authorId="0" shapeId="0" xr:uid="{EB61EC3A-CD34-40AB-A63A-46B15678615D}">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8" authorId="0" shapeId="0" xr:uid="{CED8DF91-77A4-46FD-8466-31310FFA37E4}">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9" authorId="0" shapeId="0" xr:uid="{9ED6E9E4-6C4D-4092-A0E1-DA052B35AC5E}">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10" authorId="0" shapeId="0" xr:uid="{B4C20ABB-9215-4B67-8599-262BF9F56F03}">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11" authorId="0" shapeId="0" xr:uid="{B1B6C246-C2AC-4AB0-826B-34573C5704DD}">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12" authorId="0" shapeId="0" xr:uid="{071E866A-BDC3-4812-887A-3ADDF50ACE4F}">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13" authorId="0" shapeId="0" xr:uid="{37EF11F7-2034-49AD-9301-568A72F5D39F}">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14" authorId="0" shapeId="0" xr:uid="{9926309F-F3E3-4A23-AD7B-1D0733CD53C2}">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15" authorId="0" shapeId="0" xr:uid="{F3BF563B-231D-4590-832D-5AB8ECB2EFE3}">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16" authorId="0" shapeId="0" xr:uid="{88E55052-1408-44C9-9D88-76EC9E66E8DA}">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17" authorId="0" shapeId="0" xr:uid="{901AB1D7-4526-4158-BB2F-459AC6F48A63}">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18" authorId="0" shapeId="0" xr:uid="{69466195-02F4-4F27-9C6C-968EF1C2CA83}">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19" authorId="0" shapeId="0" xr:uid="{392921A7-5825-4102-949B-BEF373F562BD}">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20" authorId="0" shapeId="0" xr:uid="{33F6516E-BB5F-4E12-8EF6-021509053D6E}">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21" authorId="0" shapeId="0" xr:uid="{F1E71451-33F4-4FDB-BEB5-106A93E878EC}">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22" authorId="0" shapeId="0" xr:uid="{BC8C3125-A609-4817-9857-096F444CA57D}">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23" authorId="0" shapeId="0" xr:uid="{3DABBFDD-3BED-4DA8-9B09-334AF09BA348}">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24" authorId="0" shapeId="0" xr:uid="{F14E7E40-9EA9-4289-AC9D-2860F4A7AE47}">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25" authorId="0" shapeId="0" xr:uid="{5D84BAC1-21D8-4714-BA32-C13983437680}">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26" authorId="0" shapeId="0" xr:uid="{98AD80D7-BCF2-4500-8409-A3C3728A4730}">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27" authorId="0" shapeId="0" xr:uid="{A85C6994-FD97-4884-8D62-74C1720F159F}">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28" authorId="0" shapeId="0" xr:uid="{1E0DE7D9-D002-4AC7-9647-607C15B8F292}">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29" authorId="0" shapeId="0" xr:uid="{E2F89D7C-465C-4A8A-B28B-288729D6EABB}">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30" authorId="0" shapeId="0" xr:uid="{960C55FB-8F7B-48B9-8714-968CAABFDB05}">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31" authorId="0" shapeId="0" xr:uid="{B2A432FC-E5D0-4EB7-9EC7-5CEDC48303E3}">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32" authorId="0" shapeId="0" xr:uid="{64550CCA-DD98-4EFE-9B7C-BF2B93C72904}">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33" authorId="0" shapeId="0" xr:uid="{2D33B16B-1DDF-4640-B42A-053D8805637F}">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34" authorId="0" shapeId="0" xr:uid="{273EB8A1-183F-4FCA-BBE9-37A5F6BAA437}">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35" authorId="0" shapeId="0" xr:uid="{116F3C95-E9B0-47FB-A585-1A93BE87B45D}">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36" authorId="0" shapeId="0" xr:uid="{AA1303FB-A7CE-4CBD-AA4F-323FA7BFBB42}">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37" authorId="0" shapeId="0" xr:uid="{91A8D5A1-A73A-4949-A9B1-EC84C7F6CE88}">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38" authorId="0" shapeId="0" xr:uid="{1AE9407F-FAA4-46E0-8439-06BAD56249C2}">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39" authorId="0" shapeId="0" xr:uid="{7EACA5B4-37C7-472B-A489-1A2A25D9CDE1}">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40" authorId="0" shapeId="0" xr:uid="{ECBF09B9-FFA2-413F-BAF9-DEF229F3EC2D}">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41" authorId="0" shapeId="0" xr:uid="{07E1D344-3066-41C9-9B68-74BA566C4174}">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42" authorId="0" shapeId="0" xr:uid="{24FA8C64-4ABA-4129-98FE-DF43A7FC956B}">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43" authorId="0" shapeId="0" xr:uid="{56128A93-1FF0-44D7-B87D-CC5B0BB5846E}">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44" authorId="0" shapeId="0" xr:uid="{EFA7724C-D45B-4E58-9A20-97257F769F33}">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45" authorId="0" shapeId="0" xr:uid="{140DEC5F-A44E-4532-A2D4-DFA57286A3C6}">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46" authorId="0" shapeId="0" xr:uid="{12C7E91B-B161-43CF-B18C-DACB3CC3680D}">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47" authorId="0" shapeId="0" xr:uid="{E9141F5A-302A-45D3-AF81-5AF21BDF8FE1}">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48" authorId="0" shapeId="0" xr:uid="{9726C477-99D2-4C6F-B307-8FFB1B31A388}">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49" authorId="0" shapeId="0" xr:uid="{B6E1CBE0-B281-4690-B8AD-15DCB001B1CF}">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50" authorId="0" shapeId="0" xr:uid="{1795C274-C91B-485E-A892-007267510518}">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51" authorId="0" shapeId="0" xr:uid="{3183114D-A69F-4563-AB66-C926EA90AD3D}">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 ref="DK52" authorId="0" shapeId="0" xr:uid="{BC0CB85A-07D4-481F-AEE7-B9358759F04D}">
      <text>
        <r>
          <rPr>
            <b/>
            <sz val="9"/>
            <color indexed="81"/>
            <rFont val="Tahoma"/>
            <family val="2"/>
          </rPr>
          <t>pablo gallegos:</t>
        </r>
        <r>
          <rPr>
            <sz val="9"/>
            <color indexed="81"/>
            <rFont val="Tahoma"/>
            <family val="2"/>
          </rPr>
          <t xml:space="preserve">
Maps each question row to its program name (matching the dropdown list in AA2:AA9). Used by the green conditional-formatting rule on E5:Y52.</t>
        </r>
      </text>
    </comment>
  </commentList>
</comments>
</file>

<file path=xl/sharedStrings.xml><?xml version="1.0" encoding="utf-8"?>
<sst xmlns="http://schemas.openxmlformats.org/spreadsheetml/2006/main" count="625" uniqueCount="409">
  <si>
    <r>
      <rPr>
        <b/>
        <sz val="11"/>
        <color theme="1"/>
        <rFont val="Calibri"/>
        <family val="2"/>
        <scheme val="minor"/>
      </rPr>
      <t>Instructions:</t>
    </r>
    <r>
      <rPr>
        <sz val="11"/>
        <color theme="1"/>
        <rFont val="Calibri"/>
        <family val="2"/>
        <scheme val="minor"/>
      </rPr>
      <t xml:space="preserve">
1) Edit blue/green cells only. All other cells (questions, titles, lookups) are reference data — please do not change them.
2) Work in the 'Evaluation Matrix' sheet. Each abstract is one column, with its index in row 1 and title in row 2. Hover over a title cell to read the full abstract (also available on the 'Abstracts' sheet).
3) Row 3: Identify the main program associated with each abstract and select it from the dropdown menu (IBR, Stability, DER System Services, DER C&amp;C, CROF, System Services, Planning, Other).
      After the program is selected, research questions will be highlighted in green to guide identification of questions related to that program.
4) Scoring: for each relevant research question, enter an affinity score (integer 0–5, per the scale below).
     Research questions outside the selected program may also be relevant—and this is expected in many cases. You can/should rate other questions based on your own judgement.</t>
    </r>
  </si>
  <si>
    <r>
      <rPr>
        <b/>
        <sz val="11"/>
        <color theme="1"/>
        <rFont val="Calibri"/>
        <family val="2"/>
        <scheme val="minor"/>
      </rPr>
      <t>Affinity Scale:</t>
    </r>
    <r>
      <rPr>
        <sz val="11"/>
        <color theme="1"/>
        <rFont val="Calibri"/>
        <family val="2"/>
        <scheme val="minor"/>
      </rPr>
      <t xml:space="preserve">
Low
  ∎ 0: No conceptual overlap. The abstract addresses a completely different topic, phenomenon or research domain. There are no shared concepts, methods, or outcomes. Any superficial keyword match is coincidental. The abstract would not appear in a literature review for this question under any reasonable interpretation.
  ∎ 1: Marginal overlap. One or two terms or concepts are shared but the abstract investigates a fundamentally different question. The research domain may be adjacent but the objectives, topic, or outcomes are misaligned. Findings from this abstract could not be used to inform an answer to the question even partially. A reader would not cite this abstract as background for the question.
Moderate
  ∎ 2: Contextual overlap. The abstract shares the general domain and studies a related concept or phenomenon, but targets a different outcome, phenomenon, or objective. The abstract provides useful background or framing but cannot directly answer the question. A reader might cite it to establish context but not as evidence.
  ∎ 3: Partial evidence. The abstract addresses the same research objective as the question but in a different area, context, or with a different methodological framework. Findings are relevant but require adaptation or extrapolation to apply to the question. A reader would cite this abstract as indirect or supporting evidence, not as a primary source.
High
  ∎ 4: Direct relevance. The abstract addresses the same question, phenomenon, and outcome. Minor differences in methodology, setting, or scope exist but do not prevent the findings from being directly applicable. A reader would cite this abstract as substantive evidence for answering the question.
  ∎ 5: Near-perfect match. The abstract is a primary source for the question. It addresses the same research question, phenomenon, outcome, and context. Its findings can be applied directly, without adaptation, to answer the question. A reader would cite this abstract as primary evidence.</t>
    </r>
  </si>
  <si>
    <t>Programs</t>
  </si>
  <si>
    <r>
      <rPr>
        <b/>
        <sz val="11"/>
        <color theme="1"/>
        <rFont val="Calibri"/>
        <family val="2"/>
        <scheme val="minor"/>
      </rPr>
      <t>IBR</t>
    </r>
    <r>
      <rPr>
        <sz val="11"/>
        <color theme="1"/>
        <rFont val="Calibri"/>
        <family val="2"/>
        <scheme val="minor"/>
      </rPr>
      <t xml:space="preserve">: This research area focuses on the fundamental transformation of power systems as they transition from being dominated by synchronous machines to being dominated by power electronic interfaces. Research within this pillar encompasses the development of advanced control capabilities, services, and design methodologies specifically for IBRs, such as wind, solar, and battery energy storage. A primary focus is the shift from Grid-Following (GFL) to Grid-Forming (GFM) technologies, investigating how inverters can provide essential reliability services like voltage and frequency support, inertia-like responses, and system strength. It includes the study of IBR protection schemes, electromagnetic transient (EMT) modeling for high-fidelity representation, and the development of international standards (such as IEEE 2800) to ensure interoperability and performance. Furthermore, it addresses the role of IBRs in system restoration and black-start procedures, examining how decentralized resources can re-energize the grid following a total or partial shutdown.
</t>
    </r>
  </si>
  <si>
    <r>
      <rPr>
        <b/>
        <sz val="11"/>
        <color theme="1"/>
        <rFont val="Calibri"/>
        <family val="2"/>
        <scheme val="minor"/>
      </rPr>
      <t>Stabilty</t>
    </r>
    <r>
      <rPr>
        <sz val="11"/>
        <color theme="1"/>
        <rFont val="Calibri"/>
        <family val="2"/>
        <scheme val="minor"/>
      </rPr>
      <t xml:space="preserve">: The stability pillar addresses the evolving physics of the grid caused by the reduction of mechanical inertia and the emergence of fast-acting power electronics. This area covers the development of new analytical tools, monitoring systems, and control methods required to ensure the reliability and security of power systems operating with very high shares of variable renewable energy (VRE). Key research topics include converter-driven stability (e.g., sub-synchronous oscillations and harmonic instabilities), small-signal and transient stability in low-inertia environments, and the development of fast frequency response (FFR) mechanisms. It also explores the necessity of moving beyond traditional Root Mean Square (RMS) simulations toward wide-scale EMT modeling to capture fast-acting dynamics. Research here aims to define new stability limits, create automated oscillation detection algorithms, and design robust control strategies that can prevent cascading failures in highly volatile, non-linear system conditions.
</t>
    </r>
  </si>
  <si>
    <r>
      <rPr>
        <b/>
        <sz val="11"/>
        <color theme="1"/>
        <rFont val="Calibri"/>
        <family val="2"/>
        <scheme val="minor"/>
      </rPr>
      <t>DER</t>
    </r>
    <r>
      <rPr>
        <sz val="11"/>
        <color theme="1"/>
        <rFont val="Calibri"/>
        <family val="2"/>
        <scheme val="minor"/>
      </rPr>
      <t xml:space="preserve">: This area examines the integration and orchestration of distribution-level resources including rooftop solar, electric vehicles (EVs), behind-the-meter storage, microgrids, and demand-side management as active assets for the bulk power system. The focus is on the 'Transmission-Distribution (T-D) Interface,' seeking to optimize how these millions of decentralized devices can be aggregated into Virtual Power Plants (VPPs) to provide flexibility and reliability services. Research includes the development of communication protocols, localized markets for DER flexibility, and advanced DER Management Systems (DERMS). It also covers technical challenges such as bi-directional power flows, local voltage regulation, and the stability of islanded grids or DC microgrids. The goal is to transform DERs from passive, 'invisible' loads into controllable, transparent resources that support the overall resilience and decarbonization of the integrated energy system.
</t>
    </r>
  </si>
  <si>
    <r>
      <rPr>
        <b/>
        <sz val="11"/>
        <color theme="1"/>
        <rFont val="Calibri"/>
        <family val="2"/>
        <scheme val="minor"/>
      </rPr>
      <t>CROF</t>
    </r>
    <r>
      <rPr>
        <sz val="11"/>
        <color theme="1"/>
        <rFont val="Calibri"/>
        <family val="2"/>
        <scheme val="minor"/>
      </rPr>
      <t xml:space="preserve">: This pillar focuses on the evolution of the power system operator's environment to handle the exponential increase in data and complexity. Research explores the development of new visualization techniques, AI-assisted decision support systems, and automated analysis tools designed to enhance real-time situational awareness. It addresses the challenge of 'alarm fatigue' by using machine learning to prioritize critical information and filter noise. Key concepts include Modular Control Center Systems (MCCS), which allow for more flexible and scalable software architectures, and the integration of wide-area monitoring systems (WAMS) using phasor measurement unit (PMU) data. Additionally, this area investigates the human-machine interface (HMI), digital twins for real-time contingency analysis, and the cybersecurity of operational technology (OT) to ensure that control rooms remain resilient against both physical and cyber threats in a more decentralized grid.
</t>
    </r>
  </si>
  <si>
    <r>
      <rPr>
        <b/>
        <sz val="11"/>
        <color theme="1"/>
        <rFont val="Calibri"/>
        <family val="2"/>
        <scheme val="minor"/>
      </rPr>
      <t>System Services</t>
    </r>
    <r>
      <rPr>
        <sz val="11"/>
        <color theme="1"/>
        <rFont val="Calibri"/>
        <family val="2"/>
        <scheme val="minor"/>
      </rPr>
      <t xml:space="preserve">: This research area is dedicated to quantifying, defining, and procuring the technical ancillary services necessary to maintain a reliable supply-demand balance in a carbon-free future. As traditional 'free' ancillary services provided by synchronous generators (like inertia and short-circuit current) disappear, this pillar seeks to create market mechanisms and technical requirements for new types of system services. This includes investigating ramping services for managing VRE variability, advanced frequency regulation, voltage control, and black-start capabilities. Research focuses on the techno-economic design of 'service-based' markets, ensuring that the procurement of these services is both cost-effective and technologically neutral. It also looks at how to define 'resource adequacy' in systems where the marginal cost of energy is near zero, and how to incentivize the long-term investment in the flexible assets needed to ensure grid reliability at all times.
</t>
    </r>
  </si>
  <si>
    <r>
      <rPr>
        <b/>
        <sz val="11"/>
        <color theme="1"/>
        <rFont val="Calibri"/>
        <family val="2"/>
        <scheme val="minor"/>
      </rPr>
      <t>Planning</t>
    </r>
    <r>
      <rPr>
        <sz val="11"/>
        <color theme="1"/>
        <rFont val="Calibri"/>
        <family val="2"/>
        <scheme val="minor"/>
      </rPr>
      <t>: The planning pillar addresses the need for new metrics, methods, and tools to design the power systems of the future. Traditional planning processes often fail to capture the high degree of uncertainty and the complex interactions of a changing resource mix. Expanded research in this area includes integrated transmission and distribution planning, multi-sector coupling (e.g., power-to-gas, heating, and transport), and planning for extreme weather resilience under climate change scenarios. It explores the use of large-scale, high-resolution datasets and probabilistic modeling to replace deterministic 'worst-case' scenarios. Focus is also placed on the expansion of transmission infrastructure to connect remote renewable zones to load centers, the role of long-duration energy storage in seasonal balancing, and the development of new metrics for evaluating system strength and adequacy that go beyond simple capacity margins.</t>
    </r>
  </si>
  <si>
    <t>Source_Index</t>
  </si>
  <si>
    <t>Document Title</t>
  </si>
  <si>
    <t>Abstract</t>
  </si>
  <si>
    <t>10.1109/TPWRS.2023.3244919</t>
  </si>
  <si>
    <t>Chance-Constrained Pre-Contingency Joint Self- Scheduling of Energy and Reserve in VPP</t>
  </si>
  <si>
    <t>With the increasing penetration of primarily inertia-less distributed energy resources, allowable delay in the fast frequency reserve provision to ensure marginal stability condition can become comparable with the requisite dead-time for fast-switching in a radial power distribution system (PDS) connected to the transmission system. Consequently, the prevailing short-duration load-generation imbalance might propagate as system-wide frequency excursion in the future power system, which traditionally has not been observed. Furthermore, during the fast-switching, some of the fast-acting reserve (FAR) providing local generators remain inaccessible to the bulk power system (BPS). This work has answered the questions of requisite reserve requirements to cater to such events through efficient energy and FAR provision joint-scheduling. Stochasticity of fast-switching, with temporary faults as a use-case, requires modeling of load-generation imbalance and local resource unavailability, vis-á-vis FAR requirement problem, as a chance-constraint. Due to the limited visibility at the BPS level, PDS operators must ensure sufficient FAR availability for a given confidence level of the chance-constraint. Individual chance-constraints are used to ensure mathematical simplicity. Here, the PDS is operated as a virtual power plant (VPP), where the operator can procure resources locally or from the wholesale market with the aim of profit maximization before the contingency occurs. Results show that FAR requirements can influence the local energy schedule and raise energy costs. Furthermore, the confidence level of the chance-constraint can impact overall profitability, and FAR should be scheduled carefully. Comparative analysis with a modified benchmark IEEE 33-node radial test system and a 98-node test system shows the superior performance of the proposed approach. The impact of the limited available FAR is also demonstrated.</t>
  </si>
  <si>
    <t>10.1109/TPWRS.2023.3239793</t>
  </si>
  <si>
    <t>Multiagent-Based Nonlinear Generalized Minimum Variance Control for Islanded AC Microgrids</t>
  </si>
  <si>
    <t>Voltage regulation, frequency restoration, and reactive/active power sharing are the crucial tasks of the microgrid's secondary control, especially in the islanding operating mode. Because sensors and communication links in a microgrid are subject to noise, it is of paramount value to design a noise-resilient secondary voltage and frequency control. This paper proposes a minimum variance control approach for the secondary control of AC microgrids that can effectively perform noise attenuation, voltage/frequency restoration, and reactive/active power sharing. To this end, the nonlinear generalized minimum variance (NGMV) control approach is introduced to the islanded microgrid's secondary control system. The effectiveness of the proposed control approach is verified by simulating two microgrid test systems in MATLAB.</t>
  </si>
  <si>
    <t>10.1109/TPWRS.2023.3239663</t>
  </si>
  <si>
    <t>A Framework for Analyzing System Loadability With Multiple VSCs Using a Hybrid Model</t>
  </si>
  <si>
    <t>Due to the increasing number of power electronics-based devices in modern power systems, there are concerns about the impact of higher-frequency interactions on system stability. The typically-used algebraic representation of networks fails to capture these newly emergent issues, but dynamically modelling the entire network with differential equations will lead to a prohibitively long simulation time. This paper proposes a computationally-efficient analysis framework to determine the system loadability in power electronics-rich, large networks with the consideration of multiple types of stabilities. The framework developed in this paper identifies the critical network elements based on the eigenvalue sensitivity in order to exploit a hybrid modelling approach. Within the hybrid model, only the critical network portion is modelled dynamically with the rest of the network represented by algebraic equations. Bifurcation theory is used to simultaneously analyze both small-disturbance rotor angle and small-disturbance voltage stability. The results obtained show that the high-frequency interactions are accurately captured with the proposed framework. Additionally, applying this methodology results in a small dimension for the system matrix and a reduction in the computational burden. Two test networks, a three-bus system and the IEEE 39-bus system, are used to illustrate and verify the analysis framework.</t>
  </si>
  <si>
    <t>10.1109/TPWRS.2023.3247439</t>
  </si>
  <si>
    <t>Domain of Stability Characterization for Power Systems: A Novel Individual Invariance Method</t>
  </si>
  <si>
    <t>In this article, we approach the problem of stability in nonlinear systems through a new perspective that views them as a combination of individual artificial systems carefully chosen to simplify the complex structure of nonlinear systems. This is achieved by recasting nonlinear vector fields as an algebraic sum of individual vector fields for which artificial systems with known invariant sets or at least in forms that allow for tractable approximation of their invariant sets. This attempt to restructure nonlinear systems stands out in comparison to other previous attempts like Lure' systems or network based models as a purely mathematical structuring technique that transcends the physical constraints and dependencies within dynamical models and allows the user to creatively construct artificial systems with the sole focus on the overall stability. The theoretical foundation is provided for a theorem about individual invariance to relate the invariant sets of individual artificial systems to the invariant set of their original system in a way that significantly simplifies the task of approximating regions of attraction. Several examples are used to demonstrate this theorem and we also evaluate the use this theorem for the challenging power system stability problems in both AC and DC grids. The proposed method is successfully applied to the IEEE 39-bus New England system, and a DC converter with constant power load giving accurate and realistic estimations of the critical clearing time and stability regions in comparison to state of the art approaches.</t>
  </si>
  <si>
    <t>10.1109/TPWRS.2023.3278300</t>
  </si>
  <si>
    <t>DTformer: An Efficient Digital Twin Model for Loss Measurement in UHVDC Transmission Systems</t>
  </si>
  <si>
    <t>Ultra-high Voltage Direct Current system (UHVDC) can realize long distance transmission, and its loss measurement has great significance for loss reduction and fault diagnosis. Currently, loss measurements can be performed by model-driven and data-driven approaches. However, poor operating conditions can lead to system sensing errors, which can significantly reduce the accuracy and speed of measurement. To deal with this problem, we propose a digital twin architecture and constructs a data-driven learning model. The model, DTformer, is embedded in the digital twin architecture. And it has three remarkable processes: encoder-decoder based random feature extraction, loss measurement transfer learning and knowledge distillation. These processes extract parameter information and topology features from the data of UHVDC. The model has good accuracy, response time and resistance to the missing data. The comparison experiment shows that DTformer outperforms popular feature extraction models with an average decrease of 38.80% in RMSE and 42.82% in MAE, and the best R2 value is closest to 1. The analyses of lightweight and missingness show that the DTformer also has significant response time improvement and missing resistance. Finally, we also implement the visualization of digital twin to enable operators to perform monitoring, computation, analysis and management of UHVDC.</t>
  </si>
  <si>
    <t>10.1109/TPWRS.2023.3288887</t>
  </si>
  <si>
    <t>Combined Data-Driven and Model-Driven Location of Lightning Strikes: Application to Meshed HVDC Grids</t>
  </si>
  <si>
    <t>This article addresses the low-delay location of faults due to lightning strikes using single-ended measurements in High Voltage Direct Current (HVDC) grids. A combined data-driven and model-driven approach is used to estimate the fault location iteratively. No prior knowledge of the voltage evolution at the fault location is required. Once the first wavefront due to a fault is detected at some observation location of the HVDC grid, the measurements are fed to a model of the propagation of transient waves along the lines. The model is parameterized by the estimated fault location. As a result, a model of the waveform samples starting from the second wavefront is obtained. The measured and modeled waveform samples are then compared to update the estimate of the fault location. The performance of the proposed approach is evaluated via simulations, including field measurements of lightning currents. Typical location accuracy of 300 m is obtained by considering observations performed at 1 MHz over an observation time interval of less than 1.5 ms.</t>
  </si>
  <si>
    <t>10.1109/TPWRS.2023.3236397</t>
  </si>
  <si>
    <t>Computational Performance Enhancement Strategies for Risk-Averse Two-Stage Stochastic Generation and Transmission Network Expansion Planning</t>
  </si>
  <si>
    <t>This paper proposes a new acceleration technique and a representative day aggregation procedure for the risk-averse two-stage stochastic generation and transmission network expansion planning problem, in which the conditional value-at-risk is used. We use a finite set of scenarios to model uncertainty in the peak demand level of loads, along with the capacity and marginal production cost of generating units. Moreover, we use representative days to model the operational variability of the electrical demand and renewable generation. The combination of scenarios and representative days involves many variables and constraints, which may lead to computationally intractable problems. Therefore, we propose a new relaxed version of the constraint generation-based algorithm that reduces the computational time of the problem. We additionally present a two-stage aggregation procedure that combines the modified maximum dissimilarity algorithm and the priority chronological time-period clustering in order to reduce the resolution of the representative days and to pay attention to extreme conditions. The numerical results of modified versions of the IEEE 24-bus Reliability Test System and the IEEE 118-bus Test System show reductions in the computational time of more than 89% for the relaxed constraint generation-based algorithm, and of more than 94% for the two-stage aggregation procedure.</t>
  </si>
  <si>
    <t>10.1109/TPWRS.2023.3286459</t>
  </si>
  <si>
    <t>A Novel Decentralized Frequency Regulation Method of Renewable Energy Stations Based on Minimum Reserve Capacity for Renewable Energy-Dominated Power Systems</t>
  </si>
  <si>
    <t>In this article, we propose a novel decentralized frequency regulation method for renewable energy-dominated power systems. First, the system is modularized into unified frequency regulation modules composed of synchronous generators(SGs) and renewable energy stations. Then, based on the aggregation model of the module, a renewable energy station frequency regulation method based on robust control barrier functions(RCBFs) is proposed to ensure that the frequency deviation is limited, and an additional switching control strategy is complemented to avoid the long-term suspension of over-high quasi-steady-state frequency. The proposed method is still applicable under the coordination of multiple renewable energy stations. Each renewable energy station deploys decentralized control based on local information, which can support fast frequency response. The robustness of frequency response time constants of renewable energy stations and frequency dead zone are considered, which makes the control method easy to implement. A module transient frequency stability margin index based on reserve capacity is proposed, which can be used to guide the system planning and operation. Finally, simulation results validate the applicability of the proposed method, demonstrating its efficacy in regulating frequency in renewable energy-dominated power systems.</t>
  </si>
  <si>
    <t>10.1109/TPWRS.2023.3277076</t>
  </si>
  <si>
    <t>Deep Transfer Learning Based Surrogate Modeling for Optimal Investment Decision of Distribution Networks</t>
  </si>
  <si>
    <t>At present, the distribution network investment is faced with complicated operation strategies and various new investment elements. It's difficult to evaluate the impact of different investment measures on the final benefits due to the complicated physical modeling and potential coupling correlation, which contributes to that the traditional model-driven decision-making method may not work. This paper proposes a novel deep transfer learning based surrogate-assisted method to address the challenge. The key idea is to develop a surrogate model to replace the input-output correlation between the certain investment measure and its benefits, which can be further reformulated into mixed-integer linear constraints and embedded into the classical investment decision-making model for the target distribution network. As the model is trained through a designed two-stage adaptive transfer learning algorithm, which can extract the similar rules from other distribution networks, the dilemma of insufficient effective samples is alleviated, while a neural network constrained algorithm is designed to linear the surrogate model for simplifying the optimization. Numerical cases prove the effectiveness of the surrogate model on correlation mining and show the superiority of the surrogate-assisted method in achieving the precision investment for target distribution network.</t>
  </si>
  <si>
    <t>10.1109/TPWRS.2023.3281498</t>
  </si>
  <si>
    <t>Deep Learning-Based Equivalent Modelling of Hybrid RES Plant for Efficient, Repetitive Power System Transient Stability Studies</t>
  </si>
  <si>
    <t>The article presents the methodology for dynamic equivalent modelling of hybrid renewable energy source (HRES) plant with the aim of obtaining highly accurate time domain HRES plant power responses at any time during the year. The focus is on equivalent modelling for transient stability studies. Historical HRES plant production dataset and transmission network short-circuit fault statistical data, along with unsupervised data mining and deep learning techniques, represent a basis of the modelling procedure. Dynamic equivalent model (DEM) is developed in the form of deep Long Short Term Memory network. Real and imaginary parts of voltage at the point of common coupling (PCC) are model inputs, while real and reactive power at the PCC are model outputs. The article also proposes a practical approach for selecting the adequate DEM at any time in a year based on the forecasted HRES plant operating scenario only. Model performance is evaluated on a large number of case studies using the HRES plant consisting of three renewable energy sources. The results have shown that only a few DEMs are required for representing the annual HRES plant dynamic performance and obtaining reliable transient system stability results.</t>
  </si>
  <si>
    <t>10.1109/TPWRS.2023.3303206</t>
  </si>
  <si>
    <t>Robust Synchronization of Multiple Converter-Based Weak Microgrids for Smooth Interconnection</t>
  </si>
  <si>
    <t>Integrating distributed energy resources (DERs) to the conventional distribution networks results in the appearance of the concept of microgrid (MG), i.e. a set of DERs and consumers, which can be operated autonomously or in grid-connected mode. The challenge of weak converter-based MGs is taken into account in the synchronization problem of multiple MGs. Such a synchronization process is fully related to the voltage phase and magnitude of the connection points as well as the MG frequency. Therefore, the voltage/frequency fluctuations of MGs have a considerable impact on the synchronization process. In this article, a robust $H_\infty$ controller is proposed for the synchronization process of multiple MGs as very weak grids to cope with these fluctuations and to obtain a smooth interconnection. The disturbances and uncertainties of the weak voltage and frequency are considered in the robust control synthesis, and the controller design process is completely described including parametric/unstructured uncertainty modeling, open/closed-loop modeling, and stability/performance weighting coefficient specifying. Moreover, all requirements of the synchronization procedure and control layer functionalities of MG hierarchical control, where they are fulfilled, are discussed including logic commands, control and communication signals. Time-domain simulations show a desirable performance according to design of the proposed robust synchronization control strategy.</t>
  </si>
  <si>
    <t>10.1109/TPWRS.2023.3286173</t>
  </si>
  <si>
    <t>Uncertainty Quantification of Capacitor Switching Transient Location Using Machine Learning</t>
  </si>
  <si>
    <t>Identification of capacitor switching transient location provides valuable insight into the state of the associated equipment. Machine learning (ML) models, and convolutional neural networks (CNNs) in particular, have demonstrated remarkable performance in signal location. However, ML models are data driven whose predictions are affected by noise in data and may also suffer from large extrapolation errors when applied to new conditions. Uncertainty quantification (UQ) is necessary to ensure model trustworthiness and avoid overconfident predictions in extrapolation. In this work, we propose a novel UQ method, called PI3NN, to quantify prediction uncertainty of ML models and integrate the method with CNNs for transient source location. PI3NN calculates Prediction Intervals by training 3 Neural Networks and uses root-finding methods to determine the interval precisely. Additionally, PI3NN can identify out-of-distribution (OOD) data in a nonstationary condition to avoid overconfident prediction. Results indicate that with PI3NN, transient signals are not only correctly identified, but when said signals are subject to corruptions characteristic of an actual power monitoring system (e.g non-ideal sensors), the model recognizes when it is uncertain about its predictions, effectively letting the user know when to accept or discard the results.</t>
  </si>
  <si>
    <t>10.1109/TPWRS.2023.3257259</t>
  </si>
  <si>
    <t>Online Preventive Control for Transmission Overload Relief Using Safe Reinforcement Learning With Enhanced Spatial-Temporal Awareness</t>
  </si>
  <si>
    <t>The risk of transmission overload (TO) in power grids is increasing with the large-scale integration of intermittent renewable energy sources. An effective online preventive control schemes proves to be vital in safeguarding the security of power systems. In this paper, we formulate the online preventive control problem for TO alleviation as a constrained Markov decision process (CMDP), targeted to reduce the load rate of overloaded lines by implementing generation re-dispatch, transmission and busbar switching actions. The CMDP is solved with a state-of-the-art safe deep reinforcement learning method, based on the computationally efficient interior-point policy optimization (IPO), which facilitates desirable learning behavior towards constraint satisfaction and policy improvement simultaneously. The performance of IPO method is further improved with an enhanced perception of spatial-temporal correlations in power gird nodal and edge features, combining the strength of edge conditioned convolutional network and long short-term memory network, fostering more effective and robust preventive control policies to be devised. Case studies on a real-world system and a large-scale system validate the superior performance of the proposed method in TO alleviation, constraint handling, uncertainty adaptability and stability preservation, as well as its favorable computational performance, through benchmarking against both model-based and reinforcement learning-based baseline methods.</t>
  </si>
  <si>
    <t>10.1109/TPWRS.2023.3241307</t>
  </si>
  <si>
    <t>Risk Assessment of Post-Fault Temporary Overvoltage Using Generalized Short-Circuit Ratio</t>
  </si>
  <si>
    <t>Temporary overvoltage (TOV) is becoming one challenge for the integration of significant power electronics resources into a power system. To assess the risk of TOV in a Multi-Infeed Power Electronic System (MIPES), a worst-case estimation approach is proposed to assess TOV risk. The paper starts with analyzing the mechanism of TOV, which reveals that TOV is dominated by excessive reactive power resulting from comprehensive control laggings. Then, the principle of approximating the TOV for a Voltage Source Converter (VSC) connecting to an infinite bus is introduced within the context of the RMS model. After that, a method based on the concept of generalized short-circuit ratio for overvoltage (gSCR-TOV) is introduced to quantify the risk of TOV in a multi-bus system. This concept intends to permit screening to identify those nodes at greatest need for further EMT assessment. To localize these nodes, a concept of weighted sensitivity matrix is further proposed to pinpoint the bus subject to highest TOV in a MIPES. Finally, case studies of EMT time-domain simulations are carried out and verifies the effectiveness of the proposed methods.</t>
  </si>
  <si>
    <t>10.1109/TPWRS.2023.3266369</t>
  </si>
  <si>
    <t>Forwardformer: Efficient Transformer With Multi-Scale Forward Self-Attention for Day-Ahead Load Forecasting</t>
  </si>
  <si>
    <t>Accurate load forecasting can maintain the safety and stability of power grids. The mainstream models are based on complex recurrent or convolutional neural networks (RNNs, CNNs), and in recent years they are often used in combination with the attention mechanism. The shortcomings of these models are that they cannot get rid of sequential computation and fail to capture long-term dependence. For better application in day-ahead load forecasting (DALF), we propose a new network architecture, i.e., Forwardformer, which is implemented by imposing some effective improvements on the Transformer (a pioneering network model with applications in Natural Language Processing (NLP)). The core of Forwardformer is the multi-scale forward self-attention (MSFSA) and the correction structure of the encoder-dual decoder, which confer better computational efficiency and forecasting accuracy. Meanwhile, to improve forecasting accuracy on special days (weekends, holidays, etc.), the MSFSA configures dilated attention and global attention for them, respectively. Experiments performed on datasets from China and America demonstrated that the Forwardformer requires less runtime while being superior in forecasting accuracy. Especially in terms of weekends and holidays, it has outstanding advantages and provides a new solution to the DALF problem.</t>
  </si>
  <si>
    <t>10.1109/TPWRS.2023.3288018</t>
  </si>
  <si>
    <t>Equivalence of Impedance Participation Analysis Methods for Hybrid AC/DC Power Systems</t>
  </si>
  <si>
    <t>Participation analysis based on whole-system impedance models enables the root-cause stability analysis of large-scale power systems when state-space models are unavailable. To extend participation analysis to the hybrid AC/DC system, especially for the interlinking converter, this article proposes two complementary methods, namely the direct method and the indirect method. The direct method treats the interlinking converter as hybrid AC-DC port apparatus and the participation factor can be defined with the terminal hybrid AC-DC impedance matrix correspondingly. As for the indirect method, system equivalence can be made at the AC or DC terminal of the interlinking converter when impedance models within subsystems are unavailable such that preliminary knowledge of systems can be simplified. Importantly, the equivalence of these two methods on the observability of system components is revealed through theoretical analysis. The proposed impedance participation analysis methods are illustrated with a 4-bus hybrid AC/DC system, a modified 28-bus hybrid AC/DC system and a modified 96-bus hybrid AC/DC system. Numerical calculations and time-domain simulations are performed to validate the theoretical analysis.</t>
  </si>
  <si>
    <t>10.1109/TPWRS.2023.3270863</t>
  </si>
  <si>
    <t>Distributed Fixed-Time Transient Stability Control Scheme for Power Systems With Heterogeneous Dynamics</t>
  </si>
  <si>
    <t>To address the obstacles of frequency synchronization and phase angle cohesion caused by heterogeneity in generator dynamics, a distributed hierarchical fixed-time frequency control framework is devised in this paper to enhance transient stability. In the top interaction observer layer, a distributed homogeneous observer is designed for each follower generator to guarantee the follower's estimation states reach the expected leader's states based on Lyapunov and fixed-time theories. In the bottom local controller layer, based on fixed-time control and backstepping method, different controllers are constructed for follower generators with heterogeneous dynamics to make the follower's actual states track their estimation states. In addition, denial-of-service (DoS) attacks may block information transmission required by the distributed control and endanger system stability. The proposed distributed frequency control can be transformed into local frequency control to achieve self-defense against DoS attacks. According to direct feedback linearization, the nonlinear voltage control coordinated with the proposed distributed fixed-time frequency control is designed to enhance transient stability by imposing additional damping. Simulations confirm the efficiency of the proposed transient stability control scheme of power systems with heterogenous generator dynamics.</t>
  </si>
  <si>
    <t>10.1109/TPWRS.2023.3238409</t>
  </si>
  <si>
    <t>Network Robustness Based Transient Stability Optimisation via Scheduling and Switching</t>
  </si>
  <si>
    <t>Security and transient stability (TS) constrained OPFs do not include network switching and often require excessive computation time due to discretization of the TS model. This paper proposes a non-simulation methodology to optimize active power dispatching and network switching to ensure TS and system security in the preventive control mode. Network switching is introduced in the security constrained OPF and classical TS models, giving a general dynamic security and TS constrained OPF. To ensure TS constraints are manageable in the optimization framework, TS is assessed by using proposed non-simulation based proxy measures. To this end, the key factors impacting TS are investigated and new composite robustness metrics for TS assessment are proposed; they consist of two terms, the nodal and network topology metrics. The former models generator features just before a fault, whilst the second considers impact of a fault on units. The general problem is then decomposed into two stages, the first being economic dispatching and the second optimization of network topology for TS via developed network robustness metrics. The minimum cost topology solutions are ranked by the TS performance. The proposed approach is tested on the IEEE68 Bus test system and compared with time-domain TS results.</t>
  </si>
  <si>
    <t>10.1109/TPWRS.2023.3268246</t>
  </si>
  <si>
    <t>Evaluation of Grid Support Capacity From Electrified Railways</t>
  </si>
  <si>
    <t>High power level and temporal operation flexibility endow electric trains with great potential for improving grid resilience. It becomes crucial to quantify the grid support capacity (GSC) from large-scale electrified railways. This article innovatively proposes a hierarchical train coordination and trajectory regulation method to evaluate and deliver the GSC from electrified railways. In the light of the mechanical energy consumption analysis of train running, the energy-oriented train operation model is proposed to avoid the nonlinear differential dynamics of train kinetics when coordinating large-scale trains. Then the aggregation and disaggregation of trains for grid support can be formulated as linear and convex quadratic programming problems respectively. To closely follow the reference power and enhance the feasibility of train operation, a novel iterative discretization approach is proposed to generate the precise reference trajectory. A sliding mode controller with disturbance bound adaption is devised to overcome the modeling errors and disturbances when deploying GSC in realistic environment. Comprehensive numerical examples verify the effectiveness of the proposed scheme, and demonstrate the significant grid support potential from collaborative electrified railways.</t>
  </si>
  <si>
    <t>10.1109/TPWRS.2023.3258066</t>
  </si>
  <si>
    <t>Non-Iterative Solution for Coordinated Optimal Dispatch via Equivalent Projection-Part I: Theory</t>
  </si>
  <si>
    <t>Coordinated optimal dispatch is of utmost importance for the efficient and secure operation of hierarchically structured power systems. Conventional coordinated optimization methods, such as the Lagrangian relaxation and Benders decomposition, require iterative information exchange among subsystems. Iterative coordination methods have drawbacks including slow convergence, risk of oscillation and divergence, and incapability of multi-level optimization problems. To this end, this paper aims at the non-iterative coordinated optimization method for hierarchical power systems. The theory of the equivalent projection (EP) is proposed, which makes external equivalence of the optimal dispatch model of the subsystem. Based on the EP theory, a coordinated optimization framework is developed, where each subsystem submits the EP model as a substitute for its original model to participate in the cross-system coordination. The proposed coordination framework is proven to guarantee the same optimality as the joint optimization, with additional benefits of avoiding iterative information exchange, protecting privacy, compatibility with practical dispatch scheme, and capability of multi-level problems.</t>
  </si>
  <si>
    <t>10.1109/TPWRS.2023.3272528</t>
  </si>
  <si>
    <t>Nonlinear Backstepping Control of Grid-Forming Converters in Presence of Grid-Following Converters and Synchronous Generators</t>
  </si>
  <si>
    <t>Grids in near future are going to host synchronous generators (SGs), legacy grid-following converters (GFLCs), and relatively new grid-forming converters (GFCs), where the latter two technologies support converter-interfaced generations. This change is going to introduce new challenges - one of them is the dc-link voltage collapse issue in GFCs following the outage of a generator. As a solution, this paper proposes a nonlinear backstepping control strategy that guarantees Lyapunov stability of a reduced-order model of such systems. To this end, first a reduced model of a 6-bus system with one GFC, one GFLC, and one SG is considered to develop fundamental understanding of such systems and derive a stabilizing control strategy. Then, based on certain observations, the simplified model is extended to a multimachine system, which in turn helps developing the nonlinear control strategy in presence of bounded uncertainties. Further, a dc-link voltage tracking control is introduced to ensure controllable frequency support from GFCs. The proposed controller is decentralized in nature and requires limited communication only if neighboring buses have GFCs and/or GFLCs. Detailed phasor models of the 6-bus system and the modified 68-bus New England-New York system with 2 GFCs and 2 GFLCs are used to demonstrate the effectiveness of the proposed control strategies.</t>
  </si>
  <si>
    <t>10.1109/TPWRS.2023.3266229</t>
  </si>
  <si>
    <t>Distributed Event-Triggered Control for Power Sharing in Grid-Connected AC Microgrid</t>
  </si>
  <si>
    <t>The traditional communication method will bring a heavy burden to the grid system in the distributed collaborative control of microgrids. In grid-connected ac microgrid, this paper adopts an event-triggered control method to resolve the power sharing problem and reduce the communication cost. To begin, the problem is stated as the control problem of a leader-follower multiagent system and uses a distributed hierarchical control strategy to solve it. The primary controller uses the internal model principle to control the voltage output. To optimize the secondary controller, this paper not only adopts an event-triggered control strategy for the microgrid based on the Lyapunov principle to control the output of the compensator state, but also carries out relevant theoretical verification and analysis to ensure that each agent can exclude Zeno behavior. Finally, simulation instances are used to verify the usefulness of the studied control algorithm.</t>
  </si>
  <si>
    <t>10.1109/TPWRS.2023.3263844</t>
  </si>
  <si>
    <t>Coordinated Low-Carbon Dispatching on Source-Demand Side for Integrated Electricity-Gas System Based on Integrated Demand Response Exchange</t>
  </si>
  <si>
    <t>With the exploration of deep decarbonization around the world, the contradiction between the low-carbon operation and energy supply in energy systems has been aggravating. There is an urgent need to tap the interactive potential between source and demand sides. In view of the current lack of efficient incentive measures for low-carbon energy consumption, an integrated demand response exchange (IDRX) mechanism is proposed to promote the coordinated low-carbon dispatching on source-demand side for integrated electricity-gas system (IEGS). The value model of IDRX for emission reduction is built to measure the ability of multi-energy load aggregators (MELAs) for decarbonization, and guide the IEGS operator to trade with the appropriate MELAs. An IDRX market clearing model is established based on non-cooperative game theory to allocate the decarbonization benefits among the entities in IEGS, thereby motivating the low-carbon demand response of users. Combined with the optimal operation of carbon capture power plant and power-to-gas (CCPP-P2G) on the source side, a two-stage low-carbon dispatching model for IEGS is established. Case studies are carried out with seasonal and uncertainty scenarios to verify the effectiveness of IDRX in emission mitigation and highlight the economic benefits of the proposed low-carbon dispatching model.</t>
  </si>
  <si>
    <t>10.1109/TPWRS.2023.3303176</t>
  </si>
  <si>
    <t>Comprehensive-Contribution-Based Primary Frequency Regulation Market Design for the Converter-Integrated Power System</t>
  </si>
  <si>
    <t>The rising penetration of renewable energy leads to the integration of numerous converter-interfaced generators (CIG) in the power system. Equipped with high frequency regulation performance, CIGs are appropriate providers of the primary frequency regulation (PFR) service, which refers to the self-controlled frequency regulation service. To clarify the deserved compensation of each unit from providing PFR service in the converter-integrated power system (CIPS), a comprehensive-contribution-based PFR market is designed in this article. First, the unified transfer function structure (UTFS) is introduced to model the frequency dynamics of the CIPS. Specifically, the system frequency nadir, the rate-of-change-of-frequency (RoCoF), and the output dynamics of each unit during PFR are obtained from the UTFS. Second, given the detailed dynamic information of the CIPS, we propose a dynamic constrained market clearing model (DCMCM) and a quantification method of units' contribution to the PFR market. Units' contribution to the frequency nadir, the RoCoF, and the mileage are comprehensively considered in the proposed method, which is capable to measure the contribution of CIGs. Furthermore, settlement rules which match with the proposed comprehensive contribution are proposed for the PFR market. Finally, the case study results show that units with better frequency regulation performance can benefit more, based on the proposed market mechanism. Compared with the commonly used mileage-based contribution quantification method, the proposed approach is more suitable for CIGs.</t>
  </si>
  <si>
    <t>10.1109/TPWRS.2023.3284556</t>
  </si>
  <si>
    <t>Active Power Sharing Scheme in a PV Integrated DC Microgrid With Composite Energy Storage Devices</t>
  </si>
  <si>
    <t>A PV-integrated isolated DC microgrid has the potential to supply the electricity in remote areas with high reliability through greener and cheaper renewable energy resources (RERs). Having in mind the uncertainties in the RERs due to climatic changes, a combined application of battery and supercapacitor as composite energy storage devices (CESDs) in the DC microgrid is presented in this article. The purpose of CESD is to compensate the power imbalance caused by the intermittency of renewable sources and varying load demands. The power allocation in the composite energy storage system is a major concern and also it remains a challenging issue in conventional techniques. Hence, in this article, the problem is resolved by implementing an improved mixed droop technique (IMDT) with optimized steady-state as well as transient performances. With the proposed technique, the supercapacitor compensates all the fast power fluctuations in the system, while the battery supplies only the average power at steady-state. This control strategy advances the consistency of the system, dynamic restoration of the DC bus voltage, and reduces current stress from the battery units. Both MATLAB simulation and experiments are conducted to validate the effectiveness of the proposed strategy. Also, the scheme is verified for a large-scale ${\text{71 kW}}$ PV generating system through simulation.</t>
  </si>
  <si>
    <t>10.1109/TPWRS.2023.3292799</t>
  </si>
  <si>
    <t>Optimal Primary Frequency Reserve Provision by an Aggregator Considering Nonlinear Unit Dynamics</t>
  </si>
  <si>
    <t>Power system operators are increasingly procuring frequency regulation reserves from distributed energy resources via aggregators. Provision of the frequency regulation services by the aggregators can be studied from different aspects and by using different models, ranging from very-short-run to long-term scheduling models. By developing a methodology for ensuring the operational model's compliance with the dynamic constraints, this article bridges the gap between economic studies of the aggregator's frequency containment reserve market participation on the one hand and the distributed energy resources' dynamic response on the other. The article presents a mixed-integer linear program for the aggregator's portfolio management that incorporates constraints of individual units' fast dynamics, and validates them via dynamic simulations. The results demonstrate the importance of including reserve activation constraints when modelling storage technologies and settling time constraints when modelling conventional units.</t>
  </si>
  <si>
    <t>10.1109/TPWRS.2023.3242715</t>
  </si>
  <si>
    <t>Graph Learning-Based Voltage Regulation in Distribution Networks With Multi-Microgrids</t>
  </si>
  <si>
    <t>Microgrids (MGs), as localized small power systems, can effectively provide voltage regulation services for distribution networks by integrating and managing various distributed energy resources. Existing literature employs model-based optimization approaches to formulate the voltage regulation problem of multi-MGs, which require complete system models. However, this assumption is normally impractical due to time-varying environment and privacy issues. To fill this research gap, this paper suggests a data-driven decentralized framework for the cost-effective voltage regulation of a distribution network with multi-MGs. A novel multi-agent reinforcement learning method featuring an augmented graph convolutional network and a proximal policy optimization algorithm is proposed to solve this problem. Furthermore, the techniques of critical bus and electrical distance enhance the capability of feature extractions from the distribution network, allowing for the decentralized training with privacy preserving. Simulation results based on modified IEEE 33-bus, 69-bus, and 123-bus networks are developed to validate the effectiveness of the proposed method in enabling multi-MGs to provide distribution network voltage regulation.</t>
  </si>
  <si>
    <t>10.1109/TPWRS.2023.3277009</t>
  </si>
  <si>
    <t>Adaptive Frequency Droop Feedback Control-Based Power Tracking Operation of a DFIG for Temporary Frequency Regulation</t>
  </si>
  <si>
    <t>Frequency regulation scheme of doubly-fed induction generators (DFIGs) are implemented to improve the frequency stability achieving by rotor speed control. However, the coupling dynamics between the maximum power point tracking operation control loop and frequency regulation control loop would impair the frequency regulation capability. To eliminate the adverse influences, firstly, analytical derivation for coupling output power dynamics is represented when adopting frequency regulation scheme of the DFIG. Then, an adaptive frequency droop feedback control based on power tracking operation strategy, which is a decoupling control scheme for frequency regulation, is proposed to respond the dynamic grid frequency without reserving power. The frequency deviation-based droop control with dynamics gains is used to calculate the coefficient of power tracking operation of the DFIG. The system stability with various power tracking operation of the DFIG is analyzed, in addition, the stable boundary is used to limit the setting of coefficient of power tracking operation. Simulations are carried based on an EMTP-RV simulator. It is found that the suggested adaptive frequency droop feedback control based on power tracking strategy can provide dual frequency regulation capability and reduce the maximum frequency excursion under various scenarios.</t>
  </si>
  <si>
    <t>10.1109/TPWRS.2023.3244668</t>
  </si>
  <si>
    <t>Achieving Emission-Reduction Goals: Multi-Period Power-System Expansion Under Short-Term Operational Uncertainty</t>
  </si>
  <si>
    <t>Stochastic adaptive robust optimization is capable of handling short-term uncertainties in demand and variable renewable-energy sources that affect investment in generation and transmission capacity. We build on this setting by considering a multi-year investment horizon for finding the optimal plan for generation and transmission capacity expansion while reducing greenhouse gas emissions. In addition, we incorporate multiple hours in power-system operations to capture hydropower operations and flexibility requirements for utilizing variable renewable-energy sources such as wind and solar power. To improve the computational performance of existing exact methods for this problem, we employ Benders decomposition and solve a mixed-integer quadratic programming problem to avoid computationally expensive big-M linearizations. The results for a realistic case study for the Nordic and Baltic region indicate which investments in transmission, wind power, and flexible generation capacity are required for reducing greenhouse gas emissions. Through out-of-sample experiments, we show that the stochastic adaptive robust model leads to lower expected costs than a stochastic programming model under increasingly stringent environmental considerations.</t>
  </si>
  <si>
    <t>10.1109/TPWRS.2023.3261222</t>
  </si>
  <si>
    <t>Adaptive Load Shedding as Part of Primary Frequency Response To Support Networked Microgrid Operations</t>
  </si>
  <si>
    <t>Global changes in the deployment of distributed energy resources, control and communications technologies, business models, and regulatory policy are increasing the operational options for future distribution systems. One such option is the coordinated operation of distributed resources to form microgrids and networks of microgrids to support traditional bulk power systems during normal operations and critical end-use loads during outages. While individual standalone microgrids have been extensively studied and deployed, the coordinated operation of networked microgrids is operationally more challenging due to the dynamic boundaries and changing mix of generation resources. This paper presents a method of using a distributed control architecture to support primary frequency response in networked microgrids operations. The support of primary frequency response is accomplished using the Open Field Message Bus reference architecture and Grid Friendly Appliance controllers.</t>
  </si>
  <si>
    <t>10.1109/TPWRS.2023.3238846</t>
  </si>
  <si>
    <t>Risk-Based Hosting Capacity Analysis in Distribution Systems</t>
  </si>
  <si>
    <t>Solar hosting capacity analysis (HCA) assesses the ability of a distribution network to host distributed solar generation without seriously violating distribution network constraints. In this paper, we consider risk-sensitive HCA that limits the risk of network constraint violations with a collection of scenarios of solar irradiance and nodal power demands, where risk is modeled via the conditional value at risk (CVaR) measure. First, we consider the question of maximizing aggregate installed solar capacities, subject to risk constraints and solve it as a second-order cone program (SOCP) with a standard conic relaxation of the feasible set of the power flow equations. Second, we design an incremental algorithm to decide whether a configuration of solar installations has acceptable risk of constraint violations, modeled via CVaR. The algorithm circumvents explicit risk computation by incrementally constructing inner and outer polyhedral approximations of the set of acceptable solar installation configurations from prior such tests conducted. Our numerical examples study the impact of risk parameters, the number of scenarios and the scalability of our framework.</t>
  </si>
  <si>
    <t>10.1109/TPWRS.2023.3244967</t>
  </si>
  <si>
    <t>Distributed Unified Controller Design for Parallel Battery Storage System in DC Shipboard Microgrid</t>
  </si>
  <si>
    <t>In this paper, a novel distributed unified controller is designed to solve the problems of unbalanced State of Charge (SoC), unreasonable load current sharing, and unstable DC bus voltage for parallel battery storage systems (BSSs) in DC shipboard microgrid (DC-SMG). Different from the droop-based secondary controller, the designed distributed unified controller is a droop-free primary controller, which can incorporate SoC balancing, current sharing, and voltage regulation functions in the primary control layer. On this basis, each BSS uses an improved dynamic diffusion algorithm (DDA) to iteratively estimate the average information, and completes information exchange by a neighbor-to-neighbor communication network. Furthermore, the small-signal stability, large-signal stability, and global steady-state performance of the system is investigated using eigenvalue analysis, mixed potential theory (MPT), and matrix theory, respectively. Finally, the Matlab/Simulink simulation model and the StarSim HIL experimental platform for DC-SMG are built. The results show that the designed distributed unified controller can simultaneously achieve dynamic SoC balancing, proportional load current sharing, and smooth average bus voltage regulation, and has a faster SoC convergence speed and more stable control effect than the state-of-the-art methods.</t>
  </si>
  <si>
    <t>10.1109/TPWRS.2023.3266956</t>
  </si>
  <si>
    <t>Learning Power Grid Outages With Higher-Order Topological Neural Networks</t>
  </si>
  <si>
    <t>With the increase in cyber-physical threats and extreme weather events, resilience of the power system has become a problem of utmost societal importance. In this article, we propose a novel approach for resilience improvement of power distribution networks, based on the notions of persistent homology and simplicial neural networks (SNNs) which are new directions in graph learning. In particular, tools of persistent homology allow us to capture the most essential topological descriptors of the distribution network. In turn, extending the convolutional operation to simplicial complexes on the distribution network, using the Hodge-Laplacian analytics, enables us to describe complex interactions among multi-node higher order graph substructures. Such higher order graph substructures are of particular importance in distribution networks, since a change in power demand at a load bus (or the power supplied from a substation) will produce a corresponding perturbation in nodal variables (such as the bus voltages) and edge variables (such as branch currents). We validate our new Higher-Order Topological Neural Networks (HOT-Nets) model for contingency classification of three test distribution networks, the IEEE 37-bus feeder, IEEE 123-bus feeder, and the 342-bus low voltage network. Our experiment results on two case studies (i.e., (i) with sensors placed at all the buses alone in the networks and (ii) with partial observability in the networks) indicate that HOT-Nets substantially outperforms 9 state-of-the-art methods, yielding relative gains of up to 14.04% in terms of system resilience classification.</t>
  </si>
  <si>
    <t>10.1109/TPWRS.2023.3257033</t>
  </si>
  <si>
    <t>Non-Iterative Solution for Coordinated Optimal Dispatch via Equivalent Projection-Part II: Method and Applications</t>
  </si>
  <si>
    <t>This two-part paper develops a non-iterative coordinated optimal dispatch framework, i.e., free of iterative information exchange, via the innovation of the equivalent projection (EP) theory. The EP eliminates internal variables from technical and economic operation constraints of the subsystem and obtains an equivalent model with reduced scale, which is the key to the non-iterative coordinated optimization. In Part II of this paper, a novel projection algorithm with the explicit error guarantee measured by the Hausdorff distance is proposed, which characterizes the EP model by the convex hull of its vertices. This algorithm is proven to yield a conservative approximation within the prespecified error tolerance and can obtain the exact EP model if the error tolerance is set to zero, which provides flexibility to balance the computation accuracy and effort. Applications of the EP-based coordinated dispatch are demonstrated based on the multi-area coordination and transmission-distribution coordination. Case studies with a wide range of system scales verify the superiority of the proposed projection algorithm in terms of computational efficiency and scalability, and validate the effectiveness of the EP-based coordinated dispatch in comparison with the joint optimization.</t>
  </si>
  <si>
    <t>10.1109/TPWRS.2023.3242938</t>
  </si>
  <si>
    <t>Fractional-Order Sliding Mode Load Frequency Control and Stability Analysis for Interconnected Power Systems With Time-Varying Delay</t>
  </si>
  <si>
    <t>The universal use of open communication networks in interconnected power systems has changed the constant delay in the formerly dedicated channels into time-varying delay. The delay will deteriorate the dynamic performance of the load frequency control and lead to system frequency instability. This paper presents a fractional-order sliding mode controller for interconnected power systems with time-varying delay and performs stability analysis based on the Lyapunov direct method. Firstly, fractional-order integral sliding mode control is used to improve the stability of interconnected power systems containing time-varying delay. This expands the delay margin by taking advantage of the scalability of the fractional-order to the sliding mode surface. Then, the Riemann-Liouville fractional-order Lyapunov functional is introduced to stability analysis. This reduced the conservatism of the stability analysis by adjusting the upper limit of the functional integral. Lastly, combining Lyapunov's theory and integral inequality to obtain the stability conditions of the time-varying delay power system described by linear matrix inequality, and bring the stability margin of the system. The simulation results show that the designed controller can guarantee that the maximum delay time of the system is less than a predefined upper limit. The proposed control strategy obtains a larger stability margin than the other four scenarios. Additional simulation study was also conducted to verify its robustness to load variations and wind fluctuations.</t>
  </si>
  <si>
    <t>10.1109/TPWRS.2023.3262584</t>
  </si>
  <si>
    <t>An Efficient Half-Bridge MMC Model for EMTP-Type Simulation Based on Hybrid Numerical Integration</t>
  </si>
  <si>
    <t>Electromagnetic transient (EMT) simulation is critical and fundamental in the design and operation of the modular multilevel converter (MMC). This article proposes a highly efficient EMT simulation model for MMC based on hybrid numerical integration. The topology and operational principle of MMC are elaborated first. Based on this, an efficient simulation model for MMC is proposed. Each arm of the MMC is reduced to a two-node Norton equivalent circuit in the main network simulation. The computation of the capacitor dynamic equations is decoupled from that of the arm inductor dynamic equation. They are computed in a leapfrog manner. This makes the equivalent conductance of the MMC arm constant and greatly improves the simulation efficiency. Moreover, the dynamic equations of the capacitors are also decoupled from each other. Various operational conditions of the MMC are also considered, and accuracy and adaptability are thus ensured. Extensive studies on power systems with different scales verify the accuracy and improved efficiency of the proposed EMT simulation model for MMC.</t>
  </si>
  <si>
    <t>10.1109/TPWRS.2023.3239166</t>
  </si>
  <si>
    <t>Optimal Energy Utilization of MMC-HVDC System Integrating Offshore Wind Farms for Onshore Weak Grid Inertia Support</t>
  </si>
  <si>
    <t>Modular multilevel converter-based high-voltage direct current (MMC-HVDC) systems have the potential to support grid frequency by utilizing the electrostatic energy stored in sub-module capacitors. However, existing energy control schemes cannot effectively use the MMC capacitor energy to provide sufficient inertia support. Additionally, those control schemes are based on grid following control, suffering from stability issues when the AC grid short circuit ratio (SCR) decreases. Thus, a grid-forming control scheme capable of active energy management for MMC-HVDC systems integrating offshore wind farms (OWFs) is developed, achieving flexible energy regulation and stable operation under weak grid conditions. To improve inertia support performance, an optimal two-stage energy utilization method is further proposed to overcome the drawbacks of existing grid-forming methods. Finally, comparative simulations are performed in a 2-area 4-machine weak grid to verify the effectiveness and advantages of the proposed method.</t>
  </si>
  <si>
    <t>10.1109/TPWRS.2023.3260402</t>
  </si>
  <si>
    <t>Partial-Information-Based Non-Fragile Intermittent Estimator for Microgrids With Semi-Aperiodic DoS Attacks: Gain Stochastic Float</t>
  </si>
  <si>
    <t>This paper mainly focuses on the problem of non-fragile intermittent estimate tracking in microgrid systems with denial of service (DoS) attacks and gain fluctuation. Different from the common DC/AC microgrid system, the microgrid system studied in this paper involves large grid control and power line communication technology, which is more in line with the actual operating environment. Simultaneously, aiming at the occurrence of network-induced DoS attacks, an intermittent estimator based on partial measure information under cyber-attacks is designed. More importantly, instead of the existing single aperiodic or periodic DoS attacks, the DoS attacks scheme presented in this paper is semi-periodic DoS attacks whose the attack range is aperiodic and the attack width is certain. Furthermore, a variable obeying the Bernoulli distribution is proposed to characterize the randomly occurring gain fluctuation, in which the no-fragile observation is stochastic uncertain. Then, two sufficient conditions of stochastic stability of observation error system of microgrid are devised with the assistance of two different Lyapunov theories. Finally, the rationality of the developed theoretical method is verified by a numerical example.</t>
  </si>
  <si>
    <t>10.1109/TPWRS.2023.3276008</t>
  </si>
  <si>
    <t>Microgrid Formation and Real-Time Scheduling of Active Distribution Networks Considering Source-Load Stochasticity</t>
  </si>
  <si>
    <t>The post-disruption microgrid (MG) formation and the subsequent scheduling are resilience-enhancing measures for active distribution networks (ADNs) against disastrous events. This article proposes an integrated MG formation and scheduling solution, considering stochastic loads and distributed generators (DGs). Specifically, a first-stage MG formation model and a second-stage MG scheduling model are proposed to flexibly identify MG boundaries and restore as many critical loads as possible. The MG formation problem is formulated over multiple time steps to address time-varying generation outputs of intermittent DGs. Moreover, in the MG scheduling problem, the stochasticity of load demands and DG outputs is modeled as joint chance constraints (JCCs) to describe the possibility of security violations in the overall system. An efficient approximation method is next developed to convexify the JCCs into solvable second-order cones. The interaction between the MG formation and scheduling by the model predictive control implementation achieves a responsive solution for enhancing the emergency support capability of ADNs by incorporating power forecasts and real-time scheduling. The performance of the proposed method is verified in a modified real-world 136-node test feeder under catastrophic failures.</t>
  </si>
  <si>
    <t>10.1109/TPWRS.2023.3280074</t>
  </si>
  <si>
    <t>Data-Driven Emergency Frequency Control for Multi-Infeed Hybrid AC-DC System</t>
  </si>
  <si>
    <t>With the continuous development of large-scale complex hybrid AC-DC grids, the fast adjustability of HVDC systems is required by the grid to provide frequency regulation services. This article develops a fully data-driven linear quadratic regulator (LQR) for the HVDC to provide temporal frequency support. The main technical challenge is the complexity and the nonlinearity of multi-infeed hybrid AC-DC (MIDC) systems dynamics that make the LQR intractable. Based on Koopman operator (KO) theory, a Koopman eigenpairs construction method is developed to fit a global linear dynamic model of MIDC systems. Once globally linear representation of uncontrolled system dynamics is obtained offline, the control term is constituted by the gradient of the identified eigenfunctions and the control matrix $\boldsymbol{B}$. In case that $\boldsymbol{B}$ is unknown, we propose a method to identify it based on the verified Koopman eigenfunctions. The active power reference is optimized online for LCC-HVDC in a moving horizon fashion to provide frequency support, with only locally measurable frequency and transmission power. The robustness of the proposed control method against approximation errors of the linear representation in eigenfunction coordinates is analyzed. Simulation results show the effectiveness, robustness and adaptability of the proposed emergency control strategy.</t>
  </si>
  <si>
    <t>10.1109/TPWRS.2023.3244807</t>
  </si>
  <si>
    <t>Dual Grid-Forming Control With Energy Regulation Capability of MMC-HVDC System Integrating Offshore Wind Farms and Weak Grids</t>
  </si>
  <si>
    <t>To integrate weak onshore grids, some grid forming (GFM) control schemes taking advantage of DC voltage synchronization have been proposed for modular multilevel converter-based high-voltage direct current (MMC-HVDC) systems. In these control schemes, the sub-module (SM) capacitor energy is only used for grid synchronization. Since the SM capacitor is an energy storage device, it has the potential to actively regulate the stored energy. To fully exploit the energy management capability of MMC, a dual grid forming control scheme with energy regulation capability is presented in this paper. The proposed control scheme enables grid forming for both onshore and offshore MMC stations. Meanwhile, the capacitor energy of MMCs can be flexibly regulated to provide frequency support for the onshore grid. To verify the effectiveness of the proposed control scheme, case studies are first carried out in a point-to-point offshore wind farms (OWFs) integrated HVDC system. In addition, the frequency support performance is evaluated in a 3-area 4-machine grid integrated with two OWFs-HVDC systems. Finally, a single-terminal three-phase MMC prototype is developed to test the voltage decoupling and energy management capabilities of the proposed control strategy.</t>
  </si>
  <si>
    <t>10.1109/TPWRS.2023.3267267</t>
  </si>
  <si>
    <t>Online Inertia Allocation for Grid-Connected Renewable Energy Systems Based on Generic ASF Model Under Frequency Nadir Constraint</t>
  </si>
  <si>
    <t>Frequency security is one of the challenges for the power grid penetrated by renewable energy systems (RESs). Virtual inertia provision from the RESs is considered to be efficient support for frequency security enhancement. How to estimate the frequency nadir rapidly and accurately is crucial for the online inertia allocation for the RESs. This paper develops a generic average system frequency (G-ASF) model for the power grid to estimate the frequency nadir at first. The low-order generic model of the speed governing system of the SG is proposed to enhance the accuracy and flexibility of the G-ASF model. Then, based on the G-ASF model, an online inertia allocation strategy for the grid-connected RESs under frequency nadir constraint is proposed. With the pre-identified generic models of the speed governing systems, the G-ASF model of the entire power grid is periodically updated according to the grid operation state. Next to the model updating, the critical inertia of the power grid is periodically calculated under the pre-defined contingencies for frequency security verification. Then, the virtual inertia provision tasks are determined and allocated to the RESs periodically, and the grid frequency security is effectively ensured. The simulation results validate the proposed model and strategy.</t>
  </si>
  <si>
    <t>10.1109/TPWRS.2023.3252502</t>
  </si>
  <si>
    <t>Modeling of Frequency Security Constraints and Quantification of Frequency Control Reserve Capacities for Unit Commitment</t>
  </si>
  <si>
    <t>The high penetration of converter-based renewable energy sources has brought challenges to the power system frequency control. It is essential to consider the frequency security constraints and frequency control reserve requirements in unit commitment (UC). First, a novel extreme learning machine-based method is proposed to approximate the highly nonlinear frequency nadir constraint (FNC) by a set of linear constraints. Second, considering the variation of the frequency insecurity risk under the changing operational condition, we propose to optimize the primary frequency control (PFC) droop gains and reserve capacities in the UC model to provide diverse control efforts in different risk levels adaptively. Third, a secondary frequency control (SFC) reserve capacity quantification method is proposed by combining the Copula theory and distributionally robust optimization technique. The UC simulation is conducted on the IEEE 118-bus system to test the proposed optimal PFC droop gain strategy and SFC reserve capacity quantification method. Simulation results show that the proposed optimal PFC droop gain strategy is better than the traditional fixed PFC droop gain setting on economic efficiency and operational flexibility. Besides, the SFC reserve capacity calculated by the proposed method is more appropriate than the actual SFC reserve capacity in the historical operation.</t>
  </si>
  <si>
    <t>10.1109/TPWRS.2023.3279364</t>
  </si>
  <si>
    <t>Enhanced DC Voltage and Frequency Regulation for High Voltage AC/DC Power Grid</t>
  </si>
  <si>
    <t>This work proposes a primary frequency support mechanism for a voltage source converter (VSC) based multi-terminal high voltage dc (MTDC) transmission system that interconnects asynchronous ac grids. For the ac disturbance case, an augmented control strategy composed of a coordinated droop control (CDC) and a supplementary controller is developed. In CDC, the droop constants are determined considering the desired disturbance sharing ratio among the ac areas and the loading of the converters. On the other hand, the supplementary controller makes the designed droop constants provide the expected performance independent of the dc network parameters and the VSCs power losses. Therefore, the augmented controller can make the interconnected ac power systems exchange power according to the specified disturbance sharing ratio. In addition, the work introduces a new power rerouting technique to enhance the frequency and the dc voltage regulation of the ac/dc power system when a VSC trips. Furthermore, the droop constants for the nominal operation are designed to make the ac grids share the disturbance due to wind farm power variation based on their strength. Case studies are conducted for evaluation, and the presented technique shows enhanced performance in frequency (for instance, 38% improvement when ac disturbance happens) and dc voltage (for example, almost zero deviation when converter outage occurs) regulations compared to the existing mechanisms in the literature.</t>
  </si>
  <si>
    <t>10.1109/TPWRS.2023.3264591</t>
  </si>
  <si>
    <t>Interaction Between Grid-Forming Converters With AC Grids and Damping Improvement Based on Loop Shaping</t>
  </si>
  <si>
    <t>Grid-forming converters (GFC) are promising technology for improving the grid inertia and frequency stability via voltage source converters (VSC). However, GFCs could make the ac-side oscillations more complicated since it mimics the dynamics of synchronous generators (SG), and the ac-side oscillations could spread to the dc systems. This paper investigates the mechanism of the interactions between GFCs and ac grids, and proposes an enhanced GFC to improve the damping performance on oscillations. By separating the system model into GFC-related transfer functions (TF) and the ac grid-related TFs, the interaction and stability margin can be investigated by the phase difference of these TFs at the cross-gain frequency (CGF). A lead compensator is designed to reshape the phase characteristic of GFC-related TF for enhancing the damping performance of the GFC. The effectiveness of the enhanced GFC is tested according to the simulations on DIgSILENT/PowerFactory.</t>
  </si>
  <si>
    <t>10.1109/TPWRS.2023.3262811</t>
  </si>
  <si>
    <t>Dynamic Stabilization of a Centralized Weak Grid-Tied VSC System Considering PV Generator Dynamics</t>
  </si>
  <si>
    <t>This paper addresses the instabilities and dynamic interactions in a centralized vector-controlled voltage-source converter interfacing a single-stage utility-scale photovoltaic (PV) generator to a high-impedance grid system. The dynamic resistance of the PV generator is considered, and effective active stabilization methods to guarantee the entire system's stability are proposed. Further, a complete state-space linearized model is developed, and different operating conditions alongside the maximum-power operation (MPO) are considered, such as fixed-voltage operation (FVO) and fixed-current operation (FCO). It is found that with the change of the PV generator operation from the FVO or MPO to the FCO region under the weak grid and nominal dc-link capacitance conditions, the dominant eigenmodes are relocated to the open-right-half-plane of the S-plane. This eventually induces inevitable high- and low-frequency oscillation instabilities. Further, it is found that medium-frequency oscillation instability is induced in the FVO region under a weak grid and reduced dc-link capacitance conditions. Active compensators are proposed to reduce the interaction dynamics and stabilize the entire system by reshaping the converter transfer functions; hence, the Nyquist stability criterion is maintained. Finally, detailed nonlinear time-domain simulation results are provided, showing the effectiveness of the proposed method in preserving the system's stability under a wide range of operation conditions.</t>
  </si>
  <si>
    <t>10.1109/TPWRS.2023.3274752</t>
  </si>
  <si>
    <t>A Coordinated Voltage-Frequency Support Method for VSC-MTDC Integrated Offshore Wind Farms System</t>
  </si>
  <si>
    <t>Voltage and frequency stability is one of the major concerns with the continuously increasing penetration of offshore wind farms (OWFs) integrated into onshore grid via VSC-MTDC system, and it is a challenge to coordinate its low voltage ride-through (LVRT) and frequency regulation (FR) control when a local fault or large disturbance occurs in onshore grid. To address this challenge, a coordinated voltage-frequency support (CVFS) method for the VSC-MTDC integrated OWFs system is proposed in three parts: 1) an adaptive maximum power point tracking (MPPT) strategy is developed for wind turbines (WTs) to satisfy the power demands for LVRT and FR; 2) an active and reactive power quantification strategy, which firstly considers the static load characteristics of nodes nearest the grid side VSC (GSVSC) stations, is proposed for GSVSC stations to support LVRT and FR respectively; 3) an adaptive power allocation strategy, which considers the capacity constraint and the coordination factor with deviation and rate of change of voltage and frequency of different GSVSC stations, is conducted to achieve differential power distribution between LVRT and FR. Extensive test results have validated the effectiveness and performance of the proposed CVFS method.</t>
  </si>
  <si>
    <t>10.1109/TPWRS.2023.3308104</t>
  </si>
  <si>
    <t>Robust Dynamic Operating Envelopes for DER Integration in Unbalanced Distribution Networks</t>
  </si>
  <si>
    <t>Dynamic operating envelopes (DOEs) have been introduced in recent years as a means to manage the operation of distributed energy resources (DERs) within the network operational constraints. DOEs can be used by network operators to communicate DER dispatchable capacity to aggregators or customers without further consideration of network constraints and are thus viewed as a key enabler for demand-side participation in future electricity markets and for ensuring the integrity of distribution networks. While a number of approaches have been developed to calculate DOEs, uncertainties in system data are typically ignored, which can lead to unreliable results and introduce security risks in network operations. This article presents a deterministic procedure to calculate robust DOEs (RDOEs) explicitly hedged against uncertainty and variability in customers' loads and generations. The approach is based on a geometric construction strictly included within the feasible region of a linear unbalanced three-phase optimal power flow problem that specifies the network operational constraints. The article analyses and rigorously shows that the proposed approach also delivers proportional fairness in capacity allocations, and demonstrates how the RDOEs can be enlarged by i) exploiting the knowledge of customer operational statuses and ii) by optimising customers' controllable reactive powers. The efficiency and compliance of the proposed approach are characterised and discussed for three numerical case studies of varying complexity: a 2-bus conceptual distribution network, a 33-bus real-world Australian representative low-voltage distribution network, and a 132-bus low-voltage distribution network synthetically constructed by extending the 33-bus network model.</t>
  </si>
  <si>
    <t>10.1109/TPWRS.2023.3288039</t>
  </si>
  <si>
    <t>Towards Risk-Aware Real-Time Security Constrained Economic Dispatch: A Tailored Deep Reinforcement Learning Approach</t>
  </si>
  <si>
    <t>In the presence of increasing uncertainties brought by intermittent renewable energy sources, security and risk management continue to be the most critical concern in modern power system operation. Risk-aware, real-time security constrained economic dispatch (RT-SCED) provides an efficient solution towards promptly, economically and robustly responding to the changes in the power system operating state. Despite different model-based methods have been developed to handle uncertainties, significant computation burden arise to incorporate $N$-1 contingency constraints with a higher temporal resolution in RT-SCED. Driven by similar computational challenges, risk evaluation is often overlooked in the current application of deep reinforcement learning (DRL) based data-driven methods in RT-SCED. This article proposes a DRL-based risk-aware RT-SCED methodological framework by incorporating a novel data-driven risk evaluation model to foster efficient agent-environment interactions. The real-time dispatch policies are constructed with an improved twin delayed deep deterministic policy gradient method. The policy network features a residual network architecture and incorporates an active power allocation mechanism to integrate empirical dispatch knowledge, preventing early termination and fostering more efficient learning behavior. Case studies validate the superior performance of the proposed method in risk-aware RT-SCED on cost efficiency, uncertainty adaptability and computational efficiency, through benchmarking against model-based and data-driven baseline methods.</t>
  </si>
  <si>
    <t>10.1109/TPWRS.2023.3299386</t>
  </si>
  <si>
    <t>Real Time Line Power Flow Control Using Model Agnostic Controller</t>
  </si>
  <si>
    <t>This article addresses the challenge of mitigating line overloading/congestion caused by renewable penetration and contingencies. Traditional methods of mitigating overloading involve generation rescheduling in tertiary dispatch every 5-30 minutes. This approach is generally based on forecasted load and generation, and not effective in real-time corrective actions. The article introduces a model-free Neuro Predictive Controller (NPC) that can map line power flows to the inputs of dispatching resources such as generators and/or battery energy storage systems. The NPC receives synchrophasor measurement of line power flows and generates control inputs (i.e., set points) to generators and/or battery energy storage systems. The controller does not require frequent update of the system model. The efficacy of the controller was tested on 16-machine 68-bus test system and the Indian grid for various scenarios, such as line outage, generator outage, variable renewable generation, and load change. The proposed controller demonstrated better performance as compared to the existing controllers. Upon successful implementation, the controller can regulate line flow in less than 60 seconds, allowing the lines to operate closer to the thermal limit and resolve limit violations due to contingencies and variable renewable generation in real-time.</t>
  </si>
  <si>
    <t>10.1109/TPWRS.2023.3288086</t>
  </si>
  <si>
    <t>Frequency Control and Optimal Operation of Low-Inertia Power Systems With HVDC and Renewable Energy: A Review</t>
  </si>
  <si>
    <t>With the integration of large-scale renewable energy sources (RES) and high voltage direct current (HVDC) based inter-regional transmission, modern power systems are facing low-inertia issues and poor frequency regulation capabilities. This article conducts a comprehensive review on frequency control and optimal operation methods in this context. First, the frequency characteristic of a low-inertia power system is analyzed covering the whole frequency response process. Secondly, the impacts of RES and HVDC integration on system inertia and frequency performance are studied, and the system frequency characteristics considering RES and HVDC are analyzed. Then, the frequency response modes of various frequency regulation resources are compared from the perspective of "source-grid-load-storage", including their basic control principles and frequency control strategies. Further, from the operation dispatch perspective, the frequency security-constrained power system optimal operation methods are reviewed. Finally, future research trends in this area are discussed.</t>
  </si>
  <si>
    <t>10.1109/TPWRS.2023.3295593</t>
  </si>
  <si>
    <t>A System-View Optimal Additional Active Power Control of Wind Turbines for Grid Frequency Support</t>
  </si>
  <si>
    <t>Additional active power control (AAPC) of wind turbines (WTs) is essential to improve the transient frequency stability of low-inertia power systems. Most of the existing research has focused on imitating the frequency response of the synchronous generator (SG), known as virtual inertia control (VIC), but are such control laws optimal for the power systems? Inspired by this question, this article proposes an optimal AAPC of WTs to maximize the frequency nadir post a major power deficit. By decoupling the WT response and the frequency dynamics, the optimal frequency trajectory is solved based on the trajectory model, and its universality is strictly proven. Then the optimal AAPC of WTs is constructed reversely based on the average system frequency (ASF) model with the optimal frequency trajectory as the desired control results. The proposed method can significantly improve the system frequency nadir. Meanwhile, the event insensitivity makes it can be deployed based on the on-line rolling update under a hypothetic disturbance, avoiding the heavy post-event computational burden. Finally, simulation results in a two-machine power system and the IEEE 39 bus power system verify the effectiveness of the optimal AAPC of WTs.</t>
  </si>
  <si>
    <t>10.1109/TPWRS.2023.3302421</t>
  </si>
  <si>
    <t>Time-Varying Operating Regions of End-Users and Feeders in Low-Voltage Distribution Networks</t>
  </si>
  <si>
    <t>Dynamic operating envelopes (DOEs) are promising to cater for the strong uptake of distributed energy resources (DERs) in low-voltage (LV) distribution networks while ensuring secure network operation. Under the current framework, DOEs only specify active-reactive power set-points at households' point of connection (POC). In this regard, DOEs do not provide information on the feasible operating region (FOR) of end-users, which is helpful for an aggregator's market decisions. This article proposes a near real-time approach to determine DOEs that specify the FOR at end-users' POC in an LV distribution network. First, Latin hypercube sampling (LHS)-based load flow studies are performed to identify feasible pairs of P-Q injections at the POC that would not breach voltage limits. Secondly, the convex hull of feasible pairs is constructed to obtain household DOEs. Finally, a feeder-level time-varying envelope that represents the aggregate flexibility of downstream nodes of the network is calculated. A comprehensive analysis on a real Australian LV distribution network using realistic data suggests that the proposed approach is scalable and encourages active power exports beyond current industry practice. Moreover, the framework ensures privacy and separation between the distribution network service provider (DNSP) and the aggregator aligned with the existing policy and regulatory frameworks.</t>
  </si>
  <si>
    <t>10.1109/TPWRS.2023.3329820</t>
  </si>
  <si>
    <t>A Spatio-Temporal Decomposition Method for the Coordinated Economic Dispatch of Integrated Transmission and Distribution Grids</t>
  </si>
  <si>
    <t>With numerous distributed energy resources (DERs) integrated into the distribution networks (DNs), the coordinated economic dispatch (C-ED) is essential for the integrated transmission and distribution grids. For large scale power grids, the centralized C-ED meets high computational burden and information privacy issues. To tackle these issues, this paper proposes a spatio-temporal decomposition algorithm to solve the C-ED in a distributed and parallel manner. In the temporal dimension, the multi-period economic dispatch (ED) of transmission grid (TG) is decomposed to several subproblems by introducing auxiliary variables and overlapping time intervals to deal with the temporal coupling constraints. Besides, an accelerated alternative direction method of multipliers (A-ADMM) based temporal decomposition algorithm with a good initialization strategy, is developed to solve the ED subproblems of TG in parallel. In the spatial dimension, a multi-parametric programming projection based spatial decomposition algorithm is developed to coordinate the ED problems of TG and DNs in a distributed manner. To further improve the convergence performance of the spatial decomposition algorithm, the aggregate equivalence approach is used for determining the feasible range of boundary variables of TG and DNs. Moreover, we prove that the proposed spatio-temporal decomposition method can obtain the optimal solution for bilevel convex optimization problems with continuously differentiable objectives and constraints. Numerical tests are conducted on three systems with different scales, demonstrating the high computational efficiency and scalability of the proposed spatio-temporal decomposition method.</t>
  </si>
  <si>
    <t>10.1109/TPWRS.2023.3334995</t>
  </si>
  <si>
    <t>Semi-Supervised, Non-Intrusive Disaggregation of Nodal Load Profiles With Significant Behind-the-Meter Solar Generation</t>
  </si>
  <si>
    <t>It is of imperative interests for regional transmission organizations (RTOs) to effectively extract actual load profiles at transmission nodes with significant behind-the-meter solar generation, which remains a gap in the existing technology paradigm. This paper proposes an explicit yet efficient linear estimator to disaggregate actual load profiles at transmission buses with significant behind-the-meter (BTM) solar generations. The proposed estimator is based on disaggregating (i.e., extracting) at locations close to transmission buses under consideration. To overcome the lack of ground truth and validate the performance of the proposed algorithms, we first propose semi-supervised mechanisms with parameter tuning as well as unsupervised clustering and leverage the unique characteristics of zero-crossing points in BTM solar peaking behaviors, which we refer to as Zone-to-Node (Z2N) methods. Next, we further propose a bi-level Node-to-Node (N2N) framework that improves the overall disaggregation performances compared to Z2N. Numerical results are presented using real-world data at PJM Interconnection.</t>
  </si>
  <si>
    <t>10.1109/TPWRS.2024.3354299</t>
  </si>
  <si>
    <t>Modeling Microgrids for Analytical Distribution System Reliability Evaluation</t>
  </si>
  <si>
    <t>Focusing on the ability of microgrids (MGs) to provide a backup power supply to the distribution system in the event of main grid outages or disruptions, this article aims to propose a reliability model for self-controlled distributed energy resource-rich MGs from the perspective of the distribution system to which they are connected. To that end, the reliability model of MGs is derived using the Monte Carlo simulation approach and a mixed-integer linear programming-based model for optimal scheduling and resource management of MGs. An analytical framework for assessing the reliability of distribution systems in the presence of MGs is then developed by leveraging the proposed reliability model for MGs. Modeling and analyzing MGs using the proposed methodology result in the simplification and acceleration of computations associated with the reliability assessment of a distribution system including multiple MGs. The effectiveness and applicability of the proposed method are demonstrated through its implementation on a modified IEEE test system.</t>
  </si>
  <si>
    <t>10.1109/TPWRS.2024.3354888</t>
  </si>
  <si>
    <t>Voltage Security Region of a Three-Phase Unbalanced Distribution Power System With Dynamics</t>
  </si>
  <si>
    <t>Distributed energy resources (DER) and control assets on the grid provide mechanisms to ensure voltage support and power quality, and can be used as a means to maintain voltages close to nominal values. In this work, we study the security region of a system in the presence of devices with dynamics. We focus our efforts on the dynamics of devices that apply discrete changes, such as voltage regulators or capacitor banks, and DERs that change the power injections with Volt/Var/Watt functionality. The slow dynamics of these devices, coupled through the power flow equations, are modeled as a switching dynamical system where the switching condition depends on the operating point of the system. We identify the feasible set of DER power injections that prevent the switching of devices and oscillations in the voltage profile, and formulate an optimization problem that finds a robust operating point for voltage control. This operating point is the center of the largest Euclidean ball inscribed in the security region, and the radius of the ball is the security margin of the system. We showcase our models using the IEEE test cases. Our work has applications in voltage control and distribution planning.</t>
  </si>
  <si>
    <t>10.1109/TPWRS.2023.3256642</t>
  </si>
  <si>
    <t>Sparse Measurement-Based Modelling Low-Order Dynamics for Primary Frequency Regulation</t>
  </si>
  <si>
    <t>Developing a low-order model for a target with dynamic analysis and control of the primary frequency regulation (PFR) is critical for power system stability. Measurement-based modelling is an important way to improve the model fit with practical systems. The traditional interpretation of PFR is based on the combined effect of each generator unit on the system frequency, so the response of each unit needs to be measured for modelling. With the integration of a large number, distribution and diversified frequency regulation of units into a power system, it will be a burden to measure the response of all generation units. Instead of revealing the PFR dynamics based on each generation unit, this paper illustrates the impact of all units on the frequency dynamics from the perspective of the system response. Only the system frequency is needed to construct a dataset for identifying the PFR model so that the measurement required is sparse. The effectiveness of the proposed method is verified using a test system containing multiple types of units in numerical simulations and real measurements of an actual power system.</t>
  </si>
  <si>
    <t>10.1109/TPWRS.2023.3243669</t>
  </si>
  <si>
    <t>A Real-Time Redispatch Method to Evaluate the Contribution of Storage to Capacity Adequacy</t>
  </si>
  <si>
    <t>This paper proposes a novel real-time redispatch method for energy storage systems (ESSs) in resource adequacy studies. In case of real-time contingencies, a realistic operating profile is generated for ESSs to enhance system reliability by mitigating loss of load events, while maintaining their market schedule to the extent possible. Contrary to the standard approaches in the literature, the proposed method neither adopts a perfect foresight for future events, such as generator failures, nor does it resort to â€œgreedyâ€ adequacy-oriented management strategies which are detached from normal operation. Instead, storages follow a market-driven schedule, being suitably redispatched during real-time operation when necessary for adequacy reasons, subject to their energy and power capacity constraints. The redispatch method is deterministically formulated through a sequence of logical conditions and is integrated into a stochastic adequacy assessment model built upon Monte Carlo technique. Multiple battery energy storage configurations have been examined, with the Greek power system serving as a realistic case study, to evaluate the method against others available in the literature and calculate the capacity value of battery ESS.</t>
  </si>
  <si>
    <t>10.1109/TPWRS.2023.3290611</t>
  </si>
  <si>
    <t>Power Flow Models of Grid-Forming Inverters in Unbalanced Distribution Grids</t>
  </si>
  <si>
    <t>Load unbalance in electric distribution systems is unavoidable. Unbalanced load currents will lead to negative sequence (NS) voltages that may damage electric equipment. Unbalanced power flow analysis is a common tool to detect and mitigate NS voltage issues and requires accurate models of grid components. While traditional source models are available, grid-forming (GFM) inverter models are not well developed. GFM inverters implement various control strategies, which affect their power flow models. In this article, a novel GFM inverter model considering control effects is proposed. We show that for some control methods, unbalanced system loading will lead to unbalanced terminal voltages of the GFM inverters, which are modeled through an equivalent negative sequence impedance. The proposed models are initially validated using a simple test circuit. Then, they are applied in the power flow analysis on the IEEE 13-bus and 34-bus systems to demonstrate the accuracy improvement over the state-of-the-art. Using time-domain simulations as benchmarks, we show that the proposed models reduce the calculation error of negative sequence voltages by at least 25% in unbalanced distribution systems.</t>
  </si>
  <si>
    <t>10.1109/TPWRS.2023.3309131</t>
  </si>
  <si>
    <t>Probabilistic Constraint Construction for Network-Safe Load Coordination</t>
  </si>
  <si>
    <t>Distributed Energy Resources (DERs) can provide balancing services to the grid, but their power variations might cause voltage and current constraint violations in the distribution network, compromising network safety. This could be avoided by including network constraints within DER control formulations, but the entities coordinating DERs (e.g., aggregators) may not have access to network information, which typically is known only to the utility. Therefore, it is challenging to develop network-safe DER control algorithms when the aggregator is not the utility; it requires these entities to coordinate with each other. In this article, we develop an aggregator-utility coordination framework that enables network-safe control of thermostatically-controlled loads to provide frequency regulation. In our framework, the utility sends a network-safe constraint set on the aggregator's input without directly sharing any network information. We propose a constraint set construction algorithm that guarantees satisfaction of a chance constraint on network safety. Assuming monotonicity of the probability of network safety with respect to the aggregator's input, we leverage the bisection method to find the largest possible constraint set, providing maximum flexibility to the aggregator. Simulations show that, compared to two benchmark algorithms, the proposed approach provides a good balance between service quality and network safety.</t>
  </si>
  <si>
    <t>10.1109/TPWRS.2023.3322434</t>
  </si>
  <si>
    <t>Australia's Power System Frequency: Current Situation, Industrial Challenges, Efforts, and Future Research Directions</t>
  </si>
  <si>
    <t>This industry-oriented article presents an overview and in-depth analysis of previous and current situations of power system frequency response and control in the Australian National Electricity Market (NEM) power system. It provides a comprehensive understanding of frequency support services in the NEM and their corresponding market and energy governance bodies and control mechanisms. The evaluation of different services and frequency control ancillary services (FCASs) provided by different electricity market players under the supervision of the Australian Energy Market Operator (AEMO) as an independent system operator provides lessons and an understanding of the current operation status with its real challenges and opportunities from frequency stability and security perspectives. Based on the evaluation of the current situation and future national planning, such as the integrated system plan (ISP), a number of research gaps and industrial technical issues are identified. The article also presents perspectives on future research directions to help the power system transformation toward almost 100% renewable-rich and more secure energy systems.</t>
  </si>
  <si>
    <t>10.1109/TPWRS.2023.3331896</t>
  </si>
  <si>
    <t>Bus Split Distribution Factors</t>
  </si>
  <si>
    <t>The linearised DC loadflow is a fast way to calculate the load flow in transmission networks, and it is often performed by calculating the PTDF. However, until now changes in topology due to busbar splitting cannot be dealt with in an efficient way when using the PTDF. In this study, we introduce the Bus Split Distribution Factors (BSDF) which enable an efficient way to compute the effects of busbar splitting on the DC load flow. The derivation of the BSDF formulas is based on modelling the busbar coupler as a branch with vanishing reactance and by using transformed LODF formulas. In times of the energy transition the BSDF approach might be especially helpful since optimal grid topology control is still a largely unexploited form of flexibility for system operators due to the complex combinatorial nature of grid topology reconfiguration. With the BSDF approach much faster screening of topological remedial actions (including substation reconfigurations) in congestion management applications is possible.</t>
  </si>
  <si>
    <t>10.1109/TPWRS.2024.3381003</t>
  </si>
  <si>
    <t>Universal Dual-Port Grid-Forming Control: Bridging the Gap Between Grid-Forming and Grid-Following Control</t>
  </si>
  <si>
    <t>We analyze a dual-port grid-forming (GFM) control for power systems containing ac and dc transmission, converter-interfaced generation and energy storage, and legacy generation. To operate such a system and provide standard services, state-of-the-art control architectures i) require assigning grid-following (GFL) and GFM controls to different converters, and ii) result in highly complex system dynamics. In contrast, dual-port GFM control (i) subsumes common functions of GFM and GFL controls in a simple controller, ii) can be applied to a wide range of emerging technologies independently of the network configuration, and iii) significantly reduces system complexity. In this work, we provide i) an end-to-end modeling framework that allows to model complex topologies through composition of reduced-order device models, ii) an in-depth discussion of universal dual-port GFM control for emerging power systems, and iii) end-to-end stability conditions that cover a wide range of network topologies, emerging technologies, and legacy technologies. Finally, we validate our findings in detailed case studies.</t>
  </si>
  <si>
    <t>10.1109/TPWRS.2022.3169139</t>
  </si>
  <si>
    <t>Physics-Constrained Robustness Evaluation of Intelligent Security Assessment for Power Systems</t>
  </si>
  <si>
    <t>Machine learning (ML) algorithms have been widely developed to enable real-time security assessment for large-scale electricity grids. However, it also has been extensively recognized that the ML models are vulnerable to adversarial examples, which are slightly perturbed instances that can mislead the classifications but cannot be distinguished by human eyes. Considering the adversarial examples against the ML-based security assessment, they must not only cause misclassification but also follow the power balance and transfer limits and bypass the bad data detection. To this end, this paper proposes a novel concept named physics-constrained robustness that aims to computing a lower-bound of adversarial perturbations, evaluating the vulnerability of the ML-based intelligent security assessment (ISA) for power systems. A general optimization problem is formulated to compute the physics-constrained robustness of ISA with the mislabeling, power balance, power limitation, and invisible constraints. The analytical results and comparing relationship of ISAâ€™s robustness with different constraints are provided. By using the static security assessment as an example, we provide explicit formulations to evaluate the physics-constrained robustness of. Finally, extensive experiments are conducted to evaluate the physics-constrained robustness of ISA in static and dynamic cases with the real-world load profiles from New York State and provide suggestions to select the ML models and parameters.</t>
  </si>
  <si>
    <t>10.1109/TPWRS.2022.3177593</t>
  </si>
  <si>
    <t>Distributed Event-Triggered Hierarchical Control of PV Inverters to Provide Multi-Time Scale Frequency Response for AC Microgrid</t>
  </si>
  <si>
    <t>With the increasing penetration of inverter-interfaced photovoltaic (PV) systems in AC microgrids, the system inertia is increasingly deficient and the frequency response ancillary service provided by PV systems will be inevitable. In this paper, in order to make the PV systems provide multi-time scale frequency response, a novel distributed event-triggered hierarchical control (DEHC) of PV inverters is proposed, which includes a primary frequency response (PFR) control loop and a secondary frequency response (SFR) control loop. For the PFR, the PV inverters that operate in frequency regulation (FR) mode can arrest the frequency deviation in sub-seconds time-scale by an automatic deloading strategy, which is with low cost and easy to implement as no requirements for a storage system, irradiance sensors, and MPP estimators. For the SFR, the PV inverters that operate in FR mode can respond to the reference instruction assigned by a high-level AGC control center in seconds time-scale based on a novel distributed control strategy, which can converge within a fixed-time that independents to the initial conditions of the system. Furthermore, a novel event-triggered mechanism is designed to reduce the communication costs between PV inverters. Finally, case study results verify the effectiveness and improved performance of the proposed method.</t>
  </si>
  <si>
    <t>10.1109/TPWRS.2022.3224971</t>
  </si>
  <si>
    <t>A Two-Stage Power Distribution Scheme of Multiple Wind Farms Participating in Primary Frequency Regulation</t>
  </si>
  <si>
    <t>With the increasing penetration rate of renewable energy power generation (RPG) in power system, improving the frequency regulation ability of RPG has become a general trend. The premise of effective participation of RPG in primary frequency regulation (PFR) is to reasonably design the power distribution scheme for RPG devices. In order to effectively evaluate the frequency support capability of wind power generation system, the system frequency response (SFR) model under the joint action of synchronous generators, wind farms (WF) and low frequency load shedding device is established in this paper. According to the time-domain solution of this mathematical model, the influence of the output power of the WF on SFR is mathematically explained. At the same time, the influence of time delay on SFR is further demonstrated. In order to maximize the release of the rotor kinetic energy of the wind turbine and ensure the safe operation of the wind turbine when designing the power distribution scheme, an accurate prediction method of wind turbine rotor speed based on piecewise fitting and Bernoulli equation is proposed. Based on the established SFR model and rotor speed prediction method, a two-stage power distribution scheme for multiple WFs during PFR is proposed, which comprehensively considers the SFR requirements and different power output capabilities of multiple WFs. The effectiveness and superiority of the proposed power distribution scheme are validated with revised IEEE 39-bus test system and revised PG&amp;E 69-bus test system.</t>
  </si>
  <si>
    <t>10.1109/TPWRS.2022.3229568</t>
  </si>
  <si>
    <t>Renewable Electric Energy System Planning Considering Seasonal Electricity Imbalance Risk</t>
  </si>
  <si>
    <t>The growing renewable integration significantly enhances the seasonal electricity imbalance of the electric energy system. However, traditional power system planning methods usually take into account the hourly power balance within typical days but seldom consider the seasonal imbalance risk in the long-term timescale. Therefore, this paper proposes a generation-transmission-storage co-planning model considering the seasonal imbalance risk brought by the long-term uncertainty of renewable generation in the power system. The Conditional Value at Risk (CVaR) method is introduced to quantify the seasonal imbalance risk. The power system energy balance constraints are decoupled into short-term (i.e., hourly) and long-term (i.e., monthly) energy balance so that the operation of the power system can be considered within different timescales and the seasonal imbalance risk could be calculated. The validity of the proposed model is first investigated via a modified Garver's 6-bus system case study. Furthermore, the research on the HRP-38 system (HRP represents high renewable penetration) illustrates that our proposed model could effectively control the energy imbalance risk from multiple timescales. Finally, the proposed method is applied to the whole China power system at the province level, proving that the proposed planning method could effectively enhance the reliability of China's power system, decreasing both the average annual short-term and long-term energy imbalance by 30%.</t>
  </si>
  <si>
    <t>10.1109/TPWRS.2024.3392622</t>
  </si>
  <si>
    <t>Aggregated Feasible Active Power Region for Distributed Energy Resources With a Distributionally Robust Joint Probabilistic Guarantee</t>
  </si>
  <si>
    <t>Distributed Energy Resources (DERs) have valuable flexibility to provide grid services. The Aggregated Feasible Active Power Region (AFAPR) is useful for aggregating DERs and reducing the computational burden in system-wide DER scheduling. However, the uncertainty of DERs calls for a reliable AFAPR. This paper proposes a novel surrogate polytope method for deriving the inner approximation of the AFAPR that is jointly reliable for all DER constraints and linear network constraints across the scheduling period. Instead of directly applying the chance constraints to the low-level DER constraints and network constraints, the proposed method applies the Wasserstein Distributionally Robust Joint Chance Constraint (WDRJCC) to the surrogate polytope approximation of the AFAPR, which is reformulated into a tractable set of Mixed Integer Linear Programming (MILP) constraints. Our derived inner approximation to the reliable AFAPR is less conservative while still being reliable, as demonstrated by comparisons with four benchmarks in extensive case studies, and with the nonlinear Z-Bus power flow simulation applied to validate the satisfaction of network constraints. The historical data size required is small, making the proposed method easier to deploy. The scale of MILP constraints is small and does not increase with the network size nor with the number of DERs.</t>
  </si>
  <si>
    <t>10.1109/TPWRS.2024.3393866</t>
  </si>
  <si>
    <t>Grouping of $N-1$ Contingencies for Controller Synthesis: A Study for Power Line Failures</t>
  </si>
  <si>
    <t>The problem of maintaining power system stability and performance after the failure of any single line in a power system (an â€œ$N-1$ contingencyâ€) is investigated. Due to the large number of possible $N-1$ contingencies for a power network, it is impractical to optimize controller parameters for each possible contingency a priori. A method to partition a set of contingencies into groups of contingencies that are similar to each other from a control perspective is presented. Design of a single controller for each group, rather than for each contingency, provides a computationally tractable method for maintaining stability and performance after element failures. The choice of number of groups tunes a trade-off between computation time and controller performance for a given set of contingencies. Results are simulated on the IEEE 39-bus and 68-bus systems, illustrating that, with controllers designed for a relatively small number of groups, power system stability may be significantly improved after an $N-1$ contingency compared to continued use of the nominal controller. Furthermore, performance is comparable to that of controllers designed for each contingency individually.</t>
  </si>
  <si>
    <t>10.1109/TPWRS.2024.3404815</t>
  </si>
  <si>
    <t>Distribution System Behind-the-Meter DERs: Estimation, Uncertainty Quantification, and Control</t>
  </si>
  <si>
    <t>This article summarizes the three-year technical activities of the IEEE Task Force (TF) on behind-the-meter (BTM) distributed energy resources (DERs): estimation, uncertainty quantification, and control. The potential grid services from BTM DERs are discussed in detail. The paper also reviews the state-of-the-art for BTM DERs visibility, uncertainty quantification, and, optimization and control. Furthermore, different aspects of the market structures associated with BTM DERs are covered, including emerging market and business models. Finally, needs and recommendations are provided for additional areas such as system protection, computing capabilities, algorithm development, market structure design, cyberinfrastructure and security, and hardware and software developments.</t>
  </si>
  <si>
    <t>10.1109/TPWRS.2024.3408844</t>
  </si>
  <si>
    <t>DER-Inverter Based Reactive Power Ancillary Service for Supporting Peer-to-Peer Transactive Energy Trading in Distribution Networks</t>
  </si>
  <si>
    <t>Fast proliferation of distributed energy resources (DERs) and emergence of peer-to-peer (P2P) energy trading are introducing significant operation challenges to distribution networks. This paper designs a multi-timescale reactive power ancillary service trading framework in this context. The framework consists of a contract-based day-ahead Var reserve service trading stage and an hourly-ahead Var support service trading stage. At the day-ahead stage, the distribution system operator (DSO) signs a robust Var reserve contract with inverter-interfaced DERs which have sufficient Var capacity, and the problem is formulated as a two-stage robust optimization model considering uncertain nodal loads and hourly-ahead market behaviors. As an important advantage, the robust Var reserve contract eliminates the potential market power that the DERs may gain due to system configuration deficiency and market structure flaws at the later hourly-ahead trading stage. After uncertainty realization, at the hourly-ahead stage, DERs further provide the DSO with paid hourly-ahead Var supports using their spare Var capacity. The bilateral hourly-ahead Var trading between the DSO and DERs is modelled as a non-cooperative game. To attain a generalized Nash equilibrium (GNE) of the non-cooperative game, a distributed algorithm is developed by building the connection between the GNE and the primal-dual solution of a related social cost minimization problem. The proposed framework and methods are tested on three distribution systems of different scales.</t>
  </si>
  <si>
    <t>10.1109/TPWRS.2024.3413680</t>
  </si>
  <si>
    <t>Hierarchical Distributed Chance-Constrained Voltage Control for HV and MV DNs Based on Nonlinearity-Adaptive Data-Driven Method</t>
  </si>
  <si>
    <t>With large-scale distributed energy resources (DERs) being integrated into distribution networks (DNs), the coordinated optimal power flow (OPF) of high voltage (HV) and medium voltage (MV) DNs becomes challenging due to enhanced uncertainties and nonlinearity. This paper presents a hierarchical distributed chance-constrained OPF model for HV and MV DNs based on a nonlinear adaptive data-driven method. The HV master problem aims to minimize the overall operational costs, and is transformed into mixed-integer convex problem via second order cone programming. A model-free chance-constrained optimization sub-problem is established to tackle inaccurate model parameters issues and DER uncertainties in MV DNs and realize rapid response to control schemes from HV DN. The nonlinearity of power flow is approximately depicted by a data-driven incomplete dimension lifting power flow (IDL-PF) constraint, which is integrated into the MV DNs optimization model. A novel multi-parameter programming (MPP)-based distributed algorithm is proposed to solve the coordinated OPF model, which can significantly accelerate the iterative speed between the master and sub-problems. Finally, the convergence, efficiency and optimality of the proposed method are validated by numerous simulations in a practical DNs in China.</t>
  </si>
  <si>
    <t>10.1109/TPWRS.2024.3507750</t>
  </si>
  <si>
    <t>Real-Time Economic Dispatch Approach for Wholesale Energy Market With Multi-Transmission-Node DER Aggregation</t>
  </si>
  <si>
    <t>Enabling the integration of distributed energy resources (DERs) into the wholesale market, as prompted by the FERC Order 2222, introduces substantial operational complexities. To align with the current wholesale energy market practice, regional transmission organizations (RTOs) are pursuing the aggregation of transmission-node-level DERs (T-DERs), in which each T-DER is a projected representation of all DERs in the distribution network underneath the transmission node, such as a virtual power plant (VPP). This paper advances a real-time economic dispatch (RTED) framework to facilitate the aggregation of multiple T-DERs, optimizing their participation in energy market operations. We enhance the distribution factors (DFs) based modeling to capture the impact of individual T-DERs across the transmission network. Specifically, an innovative DF updating strategy is introduced in our methodology, incorporating a tailored K-Nearest Neighbors (KNN) predictor and a discrete PI corrector, along with transmission signals that sufficiently guarantee transmission constraints. These enhancements optimize the economic efficiency of the market clearing process, allowing numerous T-DERs to be involved in current energy market practices. The proposed method is tested on modified 24-bus and 118-bus systems via a rolling RTED process with real load data. The test results show that the proposed framework demonstrates marked improvements in minimizing system operation costs and satisfying the transmission network constraints.</t>
  </si>
  <si>
    <t>10.1109/TPWRS.2024.3510924</t>
  </si>
  <si>
    <t>Resilient Distributed Control for Power Systems With Multiple Synchronous Generators and DERs Satisfying Capability Curve Requirements</t>
  </si>
  <si>
    <t>In this paper, a novel distributed integral controller is proposed for a power system with multiple synchronous generators (SGs) and inverter-interfaced distributed energy resources (DERs) that ensures grid frequency restoration, voltage regulation and accurate power sharing while satisfying technical/operational constraints for the real and reactive power imposed by the capability curve of each unit. By taking into account the generic nonlinear dynamic model of the entire power system and considering only neighbour-to-neighbour communication among SGs and DERs, the proposed controller is suitably designed to inherently guarantee the capability curve constraints using invariant set theory (Nagumo's theorem), without introducing saturation units that may lead to instability, as commonly used in the existing literature. Furthermore, closed-loop system stability is also investigated to prove convergence to the desired equilibrium point for different values of the controller gains. Finally, it is analytically shown that in the case where one or more SG or DER units are forced to reach their capability curve limits, due to abnormal conditions caused by sudden load changes, cyber attacks, measurement faults, etc., the remaining non-compromised units will automatically continue to accomplish the control tasks (frequency regulation, power sharing); thus enhancing the resilience of the entire power system. The effectiveness of the proposed controller is verified under 3 extreme scenarios (load change, setpoint attack, measurement fault) on an experimental setup using the Typhoon HIL real-time system for a 10-bus and a 14-bus power network, both with 4 SGs and 2 inverter-interfaced DERs and is directly compared to a conventional distributed integral controller.</t>
  </si>
  <si>
    <t>10.1109/TPWRS.2025.3527676</t>
  </si>
  <si>
    <t>Wind Power Plant Dispatch for Power Grid Frequency Dynamics Improvement: A Surrogate Model-Based Method</t>
  </si>
  <si>
    <t>Frequency regulation support (FRS) from wind power plants (WPPs) is critical for enhancing the frequency stability of modern power systems. To preserve WPP FRS capabilities, it is essential to account for the frequency response dynamics of each wind turbine generator (WTG) in the WPP-level dispatch process. However, incorporating these dynamics into dispatch algorithms is complex due to the intricate WTG control strategies required for varying wind conditions. To overcome this challenge, this paper first examines detailed WTG dynamics models to capture key frequency response characteristics. A surrogate modeling approach is then proposed, providing an analytical model that accurately represents WTG FRS dynamics. Leveraging this surrogate model, a short-term WPP dispatch framework is developed, ensuring both precise dispatch command tracking and the preservation of FRS capabilities. Additionally, an efficient solving strategy is introduced to enhance the computational performance of the dispatch model. Case studies demonstrate the effectiveness and robustness of the proposed method, offering a significant advancement in integrating WPPs into frequency regulation frameworks.</t>
  </si>
  <si>
    <t>10.1109/TPWRS.2025.3558868</t>
  </si>
  <si>
    <t>Aggregator of Electric Vehicles Bidding in Nordic FCR-D Markets: A Chance-Constrained Program</t>
  </si>
  <si>
    <t>The Danish system operator, Energinet, has recently introduced an innovative grid code called the $\rm {P90 \ requirement}$, which allows stochastic flexible resources to bid their flexibility in Nordic ancillary service markets, contingent upon a minimum 90% probability of successfully realizing the reserve capacity bid. For limited-energy resources, Energinet imposes additional requirements for participation in these markets. Given these requirements, this paper presents a chance-constrained optimization model designed for aggregators of electric vehicles, aiming to optimally place reserve capacity bids in the Nordic Frequency Containment Reserve for Disturbances (FCR-D) market while accounting for uncertainty in future consumption baselines. We analyze both FCR-D up and down markets, reformulating and solving the proposed joint chance-constrained model using two sample-based methods. Using real data from 1400 charging stations in Denmark from March 2022 to March 2023, we demonstrate the out-of-sample profit potential. Our findings indicate that vehicle owners could save between 6% and 10% on their annual electricity bills by providing FCR-D services. Additionally, we observed a synergy effect, where having more vehicles in a single portfolio enables larger bids per vehicle compared to a collective bid from multiple portfolios with the same total number of vehicles.</t>
  </si>
  <si>
    <t>10.1109/TPWRS.2025.3562811</t>
  </si>
  <si>
    <t>Hybrid Oscillation Damping and Inertia Management for Distributed Energy Resources</t>
  </si>
  <si>
    <t>Power systems dominated by converter-interfaced distributed energy resources (DERs) typically exhibit weaker damping capabilities and lower inertia, compromising system stability. Although individual DER controllers are evolving to provide superior oscillation damping capabilities and inertia supports, there is a lack of network-wide coordinated management measures for multiple DERs, potentially leading to unexpected instability and cost-effectiveness problems. To address this gap, this paper introduces a hybrid oscillation damping and inertia management strategy for multiple DERs, considering network coupling effects, and seeks to encourage DERs to provide enhanced damping and inertia with appropriate economic incentives. We first formulate an optimization problem to tune and allocate damping and inertia coefficients for DERs, minimizing associated power and energy costs while ensuring hard constraints for system frequency stability and small-signal stability. The problem is built upon a novel convex parametric formulation that integrates oscillation mode location and frequency trajectory requirements, equipped with a theoretical guarantee, and eliminating the need for iterative tuning and computation burdens. Furthermore, to increase the willingness of DERs to cooperate, we further design appropriate economic incentives to compensate for DERs' costs based on the proposed cost minimization problem, and assess its impact on system cost-efficiency. Numerical tests highlight the effectiveness of the proposed method in promoting system stability and offer insights into potential economic benefits.</t>
  </si>
  <si>
    <t>10.1109/TPWRS.2025.3563041</t>
  </si>
  <si>
    <t>Quantifying and Optimizing the Time-Coupled Flexibilities at the Distribution-Level for TSO-DSO Coordination</t>
  </si>
  <si>
    <t>Distributed energy resources (DERs) in distribution systems offer substantial flexibility potential for power system operations, necessitating effective quantification and optimization methods for their utilization. This paper presents a unified time-coupled flexibility cost quantification approach that aligns with time-coupled flexibility models of various types of DER, whether individual or aggregated. The superior capability in accurately capturing the user inconvenience costs compared to traditional power-range-based, time-decoupled methods is demonstrated, thereby enhancing user willingness to provide flexibility to support the power system operation. Based on the quantification method, a DSO optimization model that activates DER flexibility for energy arbitrage and ancillary services provision in the transmission system while maintaining the distribution system's security and economic efficiency, i.e., TSO-DSO coordination, is developed. The optimization model introduces the concept of marginal flexibility prices (MFPs), which quantify the marginal contribution of flexibility in TSO-DSO coordination. Using MFPs for revenue allocation, incentive compatibility, revenue adequacy, and the non-profit status of DSO are guaranteed, enabling the proposed flexibility provision framework to operate sustainably. Numerical tests on the IEEE test system verify the proposed methods.</t>
  </si>
  <si>
    <t>10.1109/TPWRS.2025.3585511</t>
  </si>
  <si>
    <t>Cyber-Physical Integration Design for Frequency Regulation in Virtual Power Plants Facing Diverse Communication Issues</t>
  </si>
  <si>
    <t>The virtual power plants (VPPs) formed by aggregating distributed energy resources on the demand side have high potential in frequency regulation of power systems. However, due to the complexity of real communication network, diverse communication issues, such as random packets loss and malicious cyber-attacks, may cause undesirable power dispatch and inaccurate dynamic control. This brings great challenges to the participation of VPPs in frequency regulation. To bypass these hurdles, we propose a cyber-physical integration design to facilitate VPPs frequency regulation in a real-time and reliable manner. First, we suggest a joint design scheme of VPPs power dispatch and communication resources allocation for packets loss under cloud-edge collaboration. That is, in the physical-layer, we propose the VPPs power dispatch under packets loss and in the cyber-layer, we develop the communication resources allocation strategy. This scheme aims to eliminate the packets loss impacts and thus determine accurate power dispatch. Second, we present a high reliable information transmission approach for preventing cyber-attacks under edge-end collaboration. Specifically, in the physical-layer, we implement dynamic control for responding to received regulation power and in the cyber-layer, we execute digital signcryption algorithm. Its objective is to improve system information transmission against cyber-attacks and thus ensure the accurate dynamic control. Finally, simulation results validate the feasibility and superiority of our proposed integration design.</t>
  </si>
  <si>
    <t>10.1109/TPWRS.2023.3270366</t>
  </si>
  <si>
    <t>Reduced-Order Model for Wind-Solar Multi-Microgrids Considering Time-Scale Coupling</t>
  </si>
  <si>
    <t>A computationally efficient and accurate reduced-order model (ROM) that characterizes the time-scale coupling caused by the high penetration of power-electronic converters in microgrids (MGs) is crucial to system stability analysis. When such MGs are interconnected into multi-microgrids (MMGs), the coupling between fast and slow dynamics will be more complicated due to the interactions among each MG. The traditional ROM without concerning dynamic coupling may lead to low accuracy and even misjudgment of system stability. In this paper, by considering primary energy dynamics of renewable energy sources, e.g., doubly-fed induction generator (DFIG) and photovoltaic (PV), a small-signal model that characterizes the practical multi-timescale of MMGs is firstly presented. Then with the division of the entire MMGs into fast and slow dynamic subsystems based on the assumption of time-scale separating, the coupling dynamics are identified via the residues-based method. Finally, a ROM considering coupling dynamics and preserving physical meaning is proposed by reconfiguring the fast and slow dynamic subsystems based on singular perturbation. The accuracy of the proposed ROM is verified by comparing it with the detailed model under different control parameters, wind speeds and irradiance conditions. The time-domain simulation is employed to validate the dynamic response of the proposed ROM.</t>
  </si>
  <si>
    <t>10.1109/TPWRS.2023.3246522</t>
  </si>
  <si>
    <t>A Bidirectional Virtual Inertia Control Strategy for the Interconnected Converter of Standalone AC/DC Hybrid Microgrids</t>
  </si>
  <si>
    <t>The interconnected converter (IC) links the ac and dc microgrids (MGs) and exchanges powers to maintain the hybrid system stability. However, inertia stored in the ac or dc side cannot be transferred through IC to support each other flexibly according to demand. This article proposes a novel bidirectional virtual inertia (BVI) control strategy for the IC with an inertia transferring mechanism. IC actively transfers the inertial power to balance the transient performance of both sides of the interconnected MGs. The adaptive strategy is proposed for coefficients of the BVI control to change the inertial power flexibly according to the inertia gap caused by disturbances. Experimental results demonstrate that the proposed strategy of transferring inertia strikes a transient balance between the dc voltage and ac frequency and hence, enhance the transient stability of the hybrid system.</t>
  </si>
  <si>
    <t>10.1109/TPWRS.2023.3304717</t>
  </si>
  <si>
    <t>Applying High-Performance Computing to the European Resource Adequacy Assessment</t>
  </si>
  <si>
    <t>This work considers the European Resource Adequacy Assessment, which is a pan-European resource adequacy process that is being developed by the European Networks of Transmission System Operators for Electricity (ENTSO-E). A critical part of this process is the so-called Economic Viability Assessment model, which aims at determining future expansion and retirement capacity opportunities for the entire European network. As such, the problem is stochastic. Nevertheless, due to computational constraints, simplified approaches have been followed by ENTSO-E. Our work formulates the problem as a two-stage stochastic problem and proposes two decomposition algorithms for solving the problem which are implemented in a high-performance computing infrastructure. The first is a subgradient-based algorithm, and the second uses a relaxation of the second stage (the economic dispatch) in order to speed up the subgradient calculation thus achieving a considerable reduction in solution time. We compare our schemes against the commonly used Bender's decomposition. We compare the obtained stochastic solution against the deterministic solution proposed by ENTSO-E for their 2021 study and analyze the impact of the stochastic solution on various adequacy indicators.</t>
  </si>
  <si>
    <t>10.1109/TPWRS.2023.3240079</t>
  </si>
  <si>
    <t>Optimal Offering of Energy Storage in Electricity Markets With Loop Blocks</t>
  </si>
  <si>
    <t>Electricity market designs involving block orders have been recently gaining momentum, since they enable participants to implicitly express their operating characteristics, instead of explicitly disclosing them to the market operator, and address the effects of the increasing price uncertainty. However, the existing literature on optimizing participants' offering decisions in such markets has focused on generation participants, while it has not considered stand-alone energy storage participants, as well as a new type of block orders which has been specifically introduced to encapsulate the operating characteristics of storage - namely loop blocks (LB). This paper addresses this research gap by proposing a novel optimal offering model for a price-taking storage participant, which allows the representation and optimization of LB, while accounting for the price uncertainty encountered by the storage participant. The value of LB in increasing the storage participant's profitability and the computational performance of the proposed model are comprehensively analyzed, through both illustrative, small-scale (with respect to the number of considered price scenarios) studies and more realistic, large-scale studies considering two different storage technologies (battery storage and pumped-hydro storage).</t>
  </si>
  <si>
    <t>10.1109/TPWRS.2023.3276736</t>
  </si>
  <si>
    <t>False Data Injection Attack and Corresponding Countermeasure in Multienergy Systems</t>
  </si>
  <si>
    <t>Worldwide ambitions to combat climate change have expedited the penetration of renewables and decarbonization. Multienergy systems (MES), where different energy systems are optimally coordinated, have been recognized as a key element in future low-carbon energy operations. However, MES operations involve intense exchanges of information and control signals, thereby intensify the risk of cyberattacks. Existing cybersecurity research mainly focuses on a single-energy system, with only a few pioneering cybersecurity analyses for MES focusing on uncoordinated cyberattacks. A lack of detailed discussion and analysis on the optimally coordinated cyberattack targeting MES prevents operators from accurately evaluating the potential damages of cyberattack in MES operations. Therefore, this article first proposes an optimally coordinated false data injection attack (OC-FDIA) against MES, where attacks from different energy systems are coordinated to disturb the MES operation. Then, we show that the OC-FDIA can cause synergetic effects leading to much more severe damage than single-system FDIAs and uncoordinated FDIAs. Further, an effective countermeasure is developed to mitigate the OC-FDIA based on deep learning (DL). Eventually, the proposed OC-FDIA and its countermeasures are demonstrated through integrated electricity and gas test systems.</t>
  </si>
  <si>
    <t>10.1109/TPWRS.2023.3235193</t>
  </si>
  <si>
    <t>Probabilistic Electricity Price Forecast With Optimal Prediction Interval</t>
  </si>
  <si>
    <t>The uncertainty of electricity prices poses a challenge to all market participants as their decisions highly depend on the accuracy of price forecasts. Prediction intervals become an efficient method to quantify the uncertainties that reside in electricity price forecasts. In this paper, we propose a probabilistic electricity price forecast with optimal prediction interval method that considers both reliability and sharpness requirements. Taking reliability and sharpness into account, we ensure the prediction interval has a narrow width without sacrificing reliability. In the proposed method, the quantile regression is utilized to estimate the upper and lower bounds of the prediction intervals to avoid electricity price distribution assumption. In addition, the extreme learning machine (ELM) method is embedded in the forecast method to capture the nonlinear relationship within price data, and its tuning parameters are optimized using the augmented Lagrangian relaxation method in this paper. The effectiveness of the proposed probabilistic forecast method is demonstrated using data from various electricity markets.</t>
  </si>
  <si>
    <t>10.1109/TPWRS.2023.3277213</t>
  </si>
  <si>
    <t>Voltage Stability Constrained Economic Dispatch for Multi-Infeed HVDC Power Systems</t>
  </si>
  <si>
    <t>Multi-infeed LCC-HVDC decreases voltage stability margins due to its current source nature. Moreover, the high penetration of variable renewable energy makes it difficult to reserve enough margins for all periods. Therefore, voltage stability constraints need to be considered in the scheduling stage. However, the challenge is that the voltage stability margin is not analytic with respect to state variables. We propose a sparse support vector machine to extract the nonlinear voltage stability rule. To embed the rule into economic dispatch (ED), we apply a convex reformulating technique to the rule and then formulate a voltage stability constrained ED (VSCED) model by semi-definite programming. The model is tested on a modified IEEE-14 system and a real-world system from Jiangsu Province, China; and it is compared with other typical data-driven-based models in the Jiangsu system. The numerical experiments suggest that the stability margins can be effectively reserved above the required threshold within an acceptable computation time by the proposed VSCED model, which outperforms the other models.</t>
  </si>
  <si>
    <t>10.1109/TPWRS.2023.3273195</t>
  </si>
  <si>
    <t>A Scalable Approach to Large Scale Risk-Averse Distribution Grid Expansion Planning</t>
  </si>
  <si>
    <t>Distribution grid reliability and resilience has become a major topic of concern for utilities and their regulators. In particular, with the increase in severity of extreme events, utilities are considering major investments in distribution grid assets to mitigate the damage of highly impactful outages. Communicating the overall economic and risk-mitigation benefits of these investments to regulators is an important element of the approval process. Today, industry reliability and resilience planning practices are based largely on methods that do not take explicit account of risk. This paper proposes a practical method for identifying optimal combinations of investments in new line segments and storage devices while considering the balance between the risk associated with high impact and low probability (HILP) events and the reliability related to routine failures. We show that this method can be scaled to address large scale networks and demonstrate its benefits using a Target Feeder from the Commonwealth Edison Reliability Program.</t>
  </si>
  <si>
    <t>10.1109/TPWRS.2023.3274751</t>
  </si>
  <si>
    <t>A Multi-Timescale Coordinated Optimization Framework for Economic Dispatch of Micro-Energy Grid Considering Prediction Error</t>
  </si>
  <si>
    <t>The integration of a large number of renewable energy sources (RES) into the micro-energy grid (MEG) brings certain challenges to its optimal dispatching, especially the impact of RES and load prediction error on optimal dispatching. Therefore, this article proposes a multi-timescale coordinated optimization framework for economic dispatch of MEG considering prediction error, including three stages: day-ahead economic dispatch, intra-day rolling optimization and real-time adjustment. In the day-ahead and intra-day stages, the device's output is solved with the objective of optimal system economy. The MEG is divided into three subsystems in the real-time adjustment stage using distributed model predictive control (DMPC). The subsystems cooperate to correct the intra-day device output, which reduces the complexity of solving system optimization problems. Meanwhile, considering that the prediction horizon in DMPC usually remains constant during the optimization, which affects the control performance of DMPC. This article analyzes the impact of the prediction horizon and control horizon on the control performance of DMPC. Then a DMPC method with adaptive adjustment of the prediction horizon according to the prediction errors of RES and loads power is proposed, which can balance the stability and prediction accuracy of the system. Finally, the case studies verify the feasibility of the proposed strategy.</t>
  </si>
  <si>
    <t>10.1109/TPWRS.2023.3328156</t>
  </si>
  <si>
    <t>Computing Cost Curves of Active Distribution Grids Aggregated Flexibility for TSO-DSO Coordination</t>
  </si>
  <si>
    <t>The letter proposes for the first time a methodology to compute analytical functions approximating the cost curves of active or reactive power aggregated flexibility in the short-term operation of an active distribution system. These piece-wise linear functions can be embedded seamlessly in the tools for flexibility procurement to meet transmission grid security. The methodology tailors AC optimal power flow and power flow calculations to four proposed relevant flexibility provision cases.</t>
  </si>
  <si>
    <t>10.1109/TPWRS.2023.3278266</t>
  </si>
  <si>
    <t>Situation-Aware Load Restoration Considering Uncertainty and Correlation</t>
  </si>
  <si>
    <t>In order to minimize power supply interruption to customers, power system restoration needs to be performed rapidly after a blackout. With the integration of intermittent renewable energy and flexible loads, power system load patterns are becoming more uncertain. The goal of this article is to tackle the challenging task of developing a secure yet speedy load restoration planning strategy considering load uncertainty. The key is to leverage the real-time measurements of the restored load blocks to refine the statistical knowledge about the unrestored load blocks derived from historical data, such that the load restoration plans can be less conservative without harming security. Specifically, as the restoration process rolls forward and more loads are restored, we use a Kalman filter to update the probability distribution of the unrestored loads using the newly available measurements from the restored loads. With the updated distribution, a rolling-horizon load restoration problem for load-pickup decision making is formulated with given specified confidence levels under frequency, voltage, and power flow constraints. The effectiveness of the proposed method is evaluated through case studies on the IEEE 39-bus test system and the NPCC 140-bus system. Results demonstrate that the proposed method can restore loads more quickly and securely than conventional methods under load uncertainty.</t>
  </si>
  <si>
    <t>10.1109/TPWRS.2023.3287910</t>
  </si>
  <si>
    <t>A Leakage-Current Vectors Fault Location Method for Undersea Observation Networks With Poor Data Quality</t>
  </si>
  <si>
    <t>For undersea observation networks, accurate fault location is required to reduce repair costs and time. A main technical challenge for this task is the presence of poor-quality data caused by the cascading failure from undersea power networks to the sensors and communication networks. This article proposes a leakage-current vector (LCV) based fault location method for the negative-pole DC network to address this issue. LCVs are obtained through the nodal admittance matrix considering the electrodes which react in the seawater to provide the return path for the negative pole. The attribute of LCVs is used to identify the anomalous, corrupted and missing data. A novel KCL-based data imputation method is proposed to correct the LCVs, which are compared with measurements to obtain the fault distance and fault resistance. The simulation model of north-east pacific time-series undersea networked experiments (NEPTUNE) is established in PSCAD/EMTDC to validate the proposed method. The results show a 23% improvement in fault location accuracy compared with data-interpolation-based methods.</t>
  </si>
  <si>
    <t>10.1109/TPWRS.2023.3249825</t>
  </si>
  <si>
    <t>The Most Frequent N-k Line Outages Occur in Motifs That Can Improve Contingency Selection</t>
  </si>
  <si>
    <t>Multiple line outages that occur together show a variety of spatial patterns in the power transmission network. Some of these spatial patterns form network contingency motifs, which we define as the patterns of multiple outages that occur much more frequently than multiple outages chosen randomly from the network. We show that choosing N-k contingencies from these commonly occurring contingency motifs accounts for most of the probability of multiple initiating line outages. This result is demonstrated using historical outage data for two transmission systems. It enables N-k contingency lists that are much more efficient in accounting for the likely multiple initiating outages than exhaustive listing or random selection. The N-k contingency lists constructed from motifs can improve risk estimation in cascading outage simulations and help to confirm utility contingency selection.</t>
  </si>
  <si>
    <t>10.1109/TPWRS.2023.3295388</t>
  </si>
  <si>
    <t>A Perturbation Observer-Based Fast Frequency Support for Low-Inertia Power Grids Through VSC-HVDC Systems</t>
  </si>
  <si>
    <t>Low-inertia power grids could suffer from large frequency excursions under even small power disturbances. When a voltage source converter-based high voltage direct current (VSC-HVDC) system is used to integrate a low-inertia grid into a main grid, an ancillary frequency support service can be provided to the low-inertia grid by the VSC-HVDC system. This paper proposes a perturbation observer-based fast frequency support controller (POFFS) of VSC-HVDC systems to improve the frequency stability of low-inertia power grids. According to the feedback linearization and the high gain observer technique, the perturbation observer of the inverter station is designed to estimate the comprehensive impact of multiple perturbations, including the power disturbances in low-inertia grids, the uncertainty of grid inertia, and unknown nonlinear dynamics. The estimate of the perturbations are further compensated by the feedback control loop to achieve robust frequency regulation. Compared with the conventional frequency controller, the proposed POFFS can provide better frequency support to low-inertia power grids, without requiring an accurate system model and parameters. Two test systems are used to verify the effectiveness of the proposed POFFS.</t>
  </si>
  <si>
    <t>10.1109/TPWRS.2023.3250648</t>
  </si>
  <si>
    <t>Synthesis Load Model With Renewable Energy Sources for Transient Stability Studies</t>
  </si>
  <si>
    <t>Increased penetration of renewable energy sources (RES) has brought challenges to load modelling techniques. This paper proposes a synthesis load model with RES (SLMR), and elaborates related industrial practice conducted by China Electric Power Research Institute. Several practical issues are addressed in designing and implementing SLMR, such as load survey and representation of different types of RESs. Besides, three new modelling concerns brought by RESs are novelly addressed in the paper, i.e., aggregation of various RES parameters, consideration of various RES terminal voltage, and additional line loss due to RES response. Parameterization of the SLMR calibrates widely varied node voltage in distribution grid, and aggregates them to one equivalent node. The proposed SLMR is practically applied in industrial works, which is demonstrated in the paper.</t>
  </si>
  <si>
    <t>10.1109/TPWRS.2023.3274734</t>
  </si>
  <si>
    <t>A Linked Swing Contract Market Design With High Renewable Penetration and Battery Firming</t>
  </si>
  <si>
    <t>As renewable generation and energy storage systems become increasingly cost-effective, modern power systems are increasingly reliant on variable energy resources (VERs) to meet demand. However, the variability and uncertainty of VERs' generation require additional flexibility to mitigate their impacts. Unfortunately, the current power market designs rigidly define different power and reserve products, making it difficult to fully recognize and compensate for this flexibility. Furthermore, since the marginal operating costs of the system quickly approach zero, current marginal cost-based market mechanisms struggle to provide price signals that allow independent power producers to make informed decisions about constructing, operating, and retiring plants. To address these issues, this article proposes a new linked electricity market design based on swing contracts for operating power systems with high penetration of VERs and energy storage resources. The feasibility of the proposed approach is demonstrated through study results on the modified IEEE 118-bus test system.</t>
  </si>
  <si>
    <t>10.1109/TPWRS.2023.3268337</t>
  </si>
  <si>
    <t>Risk-Averse Optimal Combining Forecasts for Renewable Energy Trading Under CVaR Assessment of Forecast Errors</t>
  </si>
  <si>
    <t>Renewable energy producer is often exposed to huge financial losses in some imbalance hours (meaning that the contracted energy in day-ahead market is not equal to the actual output in real time) caused by extremely large forecast error. To address this challenge, this paper integrates the forecast end-user's risk profile into the development of risk-averse combining forecast approach for renewable energy trading. First, the conditional value-at-risk (CVaR) is applied to evaluate the extreme prediction error of combined forecasts. Then, convex optimization models are formulated with the objective of minimizing the mean square error plus the CVaR of large error. Solving our proposed models determines the optimal weights for individual models participating in the combined forecasts. Finally, the value of risk-averse combined forecasts is verified through examining the financial performance of using risk-averse forecasts as inputs of the bidding strategy in renewable energy trading. Case studies on real-world datasets present that our proposed method not only reduces the mean error but also lowers the extreme error. More importantly, it decreases the imbalance energy and cost in renewable energy trading, thus being less exposed to the risk of large financial losses under extreme prediction errors.</t>
  </si>
  <si>
    <t>10.1109/TPWRS.2023.3271325</t>
  </si>
  <si>
    <t>A Novel Sequence to Sequence Data Modelling Based CNN-LSTM Algorithm for Three Years Ahead Monthly Peak Load Forecasting</t>
  </si>
  <si>
    <t>Long-term load forecasting (LTLF) models play an important role in the strategic planning of power systems around the globe. Obtaining correct decisions on power network expansions or restrictions based on predictions help substantially reduce the power grid infrastructure costs. The classical approach of LTLF is limited to the usage of artificial neural networks (ANN) or regression-based approaches along with a large set of historical electricity load, weather, economy and population data. Considering the drawbacks of classical methods, this article introduces a novel sequence to sequence hybrid convolutional neural network and long short-term memory (CNN-LSTM) model to forecast the monthly peak load for a time horizon of three years. These drawbacks include, lack of sensitivity to changing trends over long time horizons, difficulty of fitting large number of variables and complex relationships, etc. (Velicer and Plummer, 1998). Forecasting time interval plays a key role in LTLF. Therefore, using monthly peak load avoids unnecessary complications while providing all essential information for a good long-term strategical planning. The accuracy of the proposed method is verified by the load data of "New South Wales (NSW)", Australia. The numerical results show that, proposed method has achieved higher prediction accuracy compared to the existing work on long-term load forecasting.</t>
  </si>
  <si>
    <t>10.1109/TPWRS.2023.3248941</t>
  </si>
  <si>
    <t>Using SHAP Values and Machine Learning to Understand Trends in the Transient Stability Limit</t>
  </si>
  <si>
    <t>Machine learning (ML) for transient stability assessment has gained traction due to the significant increase in computational requirements as renewables connect to power systems. To achieve a high degree of accuracy; black-box ML models are often required - inhibiting interpretation of predictions and consequently reducing confidence in the use of such methods. This paper proposes the use of SHapley Additive exPlanations (SHAP) - a unifying interpretability framework based on Shapley values from cooperative game theory - to provide insights into ML models that are trained to predict critical clearing time (CCT). We use SHAP to obtain explanations of location-specific ML models trained to predict CCT at each busbar on the network. This can provide unique insights into power system variables influencing the entire stability boundary under increasing system complexity and uncertainty. Subsequently, the covariance between a variable of interest and the corresponding SHAP values from each location-specific ML model - can reveal how a change in that variable impacts the stability boundary throughout the network. Such insights can inform planning and/or operational decisions. The case study provided demonstrates the method using a highly accurate opaque ML algorithm in the IEEE 39-bus test network with Type IV wind generation.</t>
  </si>
  <si>
    <t>10.1109/TPWRS.2023.3242868</t>
  </si>
  <si>
    <t>Distributed Data-Driven Optimization for Voltage Regulation in Distribution Systems</t>
  </si>
  <si>
    <t>This paper proposes a distributed data-driven optimization framework for voltage regulation in distribution systems. The recursive kernel regression and alternating direction method of multipliers (ADMM) are selected to cover the system learning and distributed optimization tasks. The proposed distributed data-driven framework is capable of having a rapid response to system or load changes while considering the operation optimality. Besides, the distributed algorithm parallels the computation tasks and reduces the computational expense of a single agent. To validate the performance of the proposed method, a hypothetical 7-Bus system and the IEEE 123-Bus system are selected to show the effectiveness of the proposed data-driven framework. According to the numerical study results, the proposed method offers great flexibility for selecting customized kernel models for different regions and can effectively improve the system voltage profile in a distributed manner.</t>
  </si>
  <si>
    <t>10.1109/TPWRS.2023.3279130</t>
  </si>
  <si>
    <t>Optimal Sizing and Pricing of Grid-Connected Renewable Power to Ammonia Systems Considering the Limited Flexibility of Ammonia Synthesis</t>
  </si>
  <si>
    <t>Converting renewable energy into ammonia has been recognized as a promising way to realize "green hydrogen substitution" in the chemical industry. However, renewable power to ammonia (RePtA) requires an essential investment in facilities to provide a buffer against the strong volatility of renewable energy and the limited flexibility of ammonia synthesis, which involves the three main stakeholders, namely, power, hydrogen, and ammonia. Therefore, the sizing and pricing of RePtA play a core role in balancing the interest demands of investors. This article proposes an optimal sizing and pricing method for grid-connected RePtA systems planning. First, power to ammonia (P2A) is modeled as a flexible load, especially considering the limited flexibility of ammonia synthesis, which has been verified using real dynamic regulation data. Second, the multi-investor economic (MIE) model is established considering both external and internal trading modes. Then, a two-stage decomposed sizing and pricing method is proposed to solve the problem caused by the strong coupling of planning, operation, and trading. The information gap decision theory (IGDT) method is utilized to handle the uncertainty of renewable generation. Finally, real data from a real-life system in Inner Mongolia are utilized to verify the proposed approach. The results show that the system proposed has an internal rate of return (IRR) of 8.55%, which indicates the practical feasibility of the proposed planning method.</t>
  </si>
  <si>
    <t>10.1109/TPWRS.2023.3257129</t>
  </si>
  <si>
    <t>Multi-Stage Decision Rules for Power Generation &amp; Storage Investments With Performance Guarantees</t>
  </si>
  <si>
    <t>We develop multi-stage linear decision rules (LDRs) for dynamic power system generation and energy storage investment planning under uncertainty and propose their chance-constrained optimization with performance guarantees. First, the optimized LDRs guarantee operational and carbon policy feasibility of the resulting dynamic investment plan even when the planning uncertainty distribution is ambiguous. Second, the optimized LDRs internalize the tolerance of the system planner towards the stochasticity (variance) of uncertain investment outcomes. They can eventually produce a quasi-deterministic investment plan, which is insensitive to uncertainty (as in deterministic planning) but robust to its realizations (as in stochastic planning). Last, we certify the performance of the optimized LDRs with the bound on their sub-optimality due to their linear functional form. Using this bound, we guarantee that the preference of LDRs over less restrictive - yet poorly scalable - scenario-based optimization does not lead to financial losses exceeding this bound. We use a testbed of the U.S. Southeast power system to reveal the trade-offs between the cost, stochasticity, and feasibility of LDR-based investments. We also conclude that the LDR sub-optimality depends on the amount of uncertainty and the tightness of chance constraints on operational, investment and policy variables.</t>
  </si>
  <si>
    <t>10.1109/TPWRS.2023.3248293</t>
  </si>
  <si>
    <t>Analytic Deep Learning and Stepwise Integrated Gradients-Based Power System Transient Stability Preventive Control</t>
  </si>
  <si>
    <t>Trajectory sensitivity (TS) is a powerful alternative to linearize strong-nonlinear transient stability patterns. However, due to its incomplete view of an intact power system operational space, it can be readily to drive preventive control to stuck in local stationary solution. To mitigate this issue, an integrated gradient (IG)-based stepwise control method is proposed. The key idea is to develop IG to enable a control sensitivity taking both merits of local and global sensitivity, further help preventive control escape from local stationary points. Particularly, deep belief network (DBN) is firstly utilized to parameterize pattern between transient stability index (TSI) and steady-state dispatches. It is then leveraged to infer IG to linearize transient stability constraints in real-time. Interior point method is employed to solve the linearized model. A stepwise control strategy is finally proposed to adaptively tune the integrated interval of the applied IG, such that the preventive control path can be ensured to follow the trend of improving transient stability. Case studies on two benchmarks show that the proposed method outperforms traditional TS method in terms of efficiency and economy, and provides a promising way to enhance engineering sensitivity methods.</t>
  </si>
  <si>
    <t>10.1109/TPWRS.2023.3253861</t>
  </si>
  <si>
    <t>A Capacity Adequacy Mechanism Based on Optional Option and Its Impact on Generation Mix Equilibrium</t>
  </si>
  <si>
    <t>Due to the missing money problem, it is a challenging task to maintain generation capacity adequacy with increasing shares of zero-marginal-cost renewable energy resources. Multiple capacity adequacy mechanisms (CAMs), such as scarcity pricing, capacity payment, capacity market, and reliability option, have been proposed and implemented, each having its own pros and cons. Here, we propose a hybrid CAM called optional option. The hybrid CAM allows scarcity pricing and reliability option to co-exist. Market participants, with diverse degrees of risk aversion and diverse forecasts of future duration of scarcity, can self-select the CAM best suited to themselves. We also present a method to efficiently derive the generation mix equilibrium under the CAM, by using the theory that the profits of all generator types approach zero in the long-term equilibrium. Simulation results show that the proposed CAM enables Pareto improvement by letting market participants be better off than being restricted to only one CAM. The results also show the effectiveness of the algorithm to calculate the generation mix equilibrium.</t>
  </si>
  <si>
    <t>10.1109/TPWRS.2023.3258740</t>
  </si>
  <si>
    <t>GRNN-Based Real-Time Fault Chain Prediction</t>
  </si>
  <si>
    <t>This paper proposes a data-driven graphical framework for the real-time search of risky cascading fault chains (${\sf FCs}$). While identifying risky ${\sf FCs}$ is pivotal to alleviating cascading failures, the complex spatio-temporal dependencies among the components of the power system render challenges to modeling and analyzing ${\sf FCs}$. Furthermore, the real-time search of risky ${\sf FCs}$ faces an inherent combinatorial complexity that grows exponentially with the size of the system. The proposed framework leverages the recent advances in graph recurrent neural networks to circumvent the computational complexities of the real-time search of ${\sf FCs}$. The search process is formalized as a partially observable Markov decision process (${\sf POMDP}$), which is subsequently solved via a time-varying graph recurrent neural network (${\sf GRNN}$) that judiciously accounts for the inherent temporal and spatial structures of the data generated by the system. The key features of this structure include (i) leveraging the spatial structure of the data induced by the system topology, (ii) leveraging the temporal structure of data induced by system dynamics, and (iii) efficiently summarizing the system's history in the latent space of the ${\sf GRNN}$. The proposed framework's efficiency is compared to the relevant literature on the IEEE 39-bus New England system and the IEEE 118-bus system.</t>
  </si>
  <si>
    <t>Abstract Index →</t>
  </si>
  <si>
    <t>Abstract Title →</t>
  </si>
  <si>
    <t>Main Program (select) →</t>
  </si>
  <si>
    <t>Program</t>
  </si>
  <si>
    <t>Question ID</t>
  </si>
  <si>
    <t>Question</t>
  </si>
  <si>
    <t>Row Program (helper)</t>
  </si>
  <si>
    <t>IBR</t>
  </si>
  <si>
    <t>I1 - Power system evolution with high IBR shares</t>
  </si>
  <si>
    <t xml:space="preserve">What is the future of active power balance as the synchronous generation fraction reduces? For example, might tightened or loosened frequency (or similar proxy for active power balance) limits lead to a more reliable, secure, lower-cost IBR-based power system? </t>
  </si>
  <si>
    <t xml:space="preserve">How will protection systems need to change to accommodate high penetrations of IBRs, and what possible actions might an inverter take during a fault that would help fault detection and location? </t>
  </si>
  <si>
    <t>Stability</t>
  </si>
  <si>
    <t xml:space="preserve">How could the IBR control paradigm change from replicating synchronous machines to exploiting wider IBR flexibility without introducing integration challenges during the transition? </t>
  </si>
  <si>
    <t>DER System Services</t>
  </si>
  <si>
    <t>I2 - IBR design standards and capabilities</t>
  </si>
  <si>
    <t xml:space="preserve">What are the appropriate inverter capabilities and, consequently, control design methods for operation in grids with high percentages of IBRs, and are standard configurations and combinations of services helpful in simplifying operational decision-making? </t>
  </si>
  <si>
    <t>DER C&amp;C</t>
  </si>
  <si>
    <t xml:space="preserve">What recommendations for standard IBR frequency characteristics and responses should be identified to help system design? For example, should a contribution to damping be mandatory at certain frequencies? </t>
  </si>
  <si>
    <t>CROF</t>
  </si>
  <si>
    <t xml:space="preserve">What requirements (e.g. impedance) should be placed on IBRs to control negative sequence currents for protection and harmonics suppression? </t>
  </si>
  <si>
    <t>System Services</t>
  </si>
  <si>
    <t>St1 - Tools for real-time operation of IBR dominated systems</t>
  </si>
  <si>
    <t>What approaches can be taken to track the dynamic response of IBR-dominated systems near real time and detect any emerging stability problems?</t>
  </si>
  <si>
    <t>Planning</t>
  </si>
  <si>
    <t>St2 - Methods for planning and operation of low-inertia systems</t>
  </si>
  <si>
    <t xml:space="preserve">What methods, including data types, and analyses can be used to identify the risk of poorly damped IBR-induced oscillations in planning studies and trace their root cause? </t>
  </si>
  <si>
    <t>Other</t>
  </si>
  <si>
    <t xml:space="preserve">What analytical tools and models should be provided to planners and operators for robust assessment of system performance in IBR-dominated power grids? </t>
  </si>
  <si>
    <t xml:space="preserve">What methods and tools should be used in planning and/or operation to determine the appropriate mix, location, and capabilities of grid-forming and grid-following inverters to mitigate stability problems for a given power system? </t>
  </si>
  <si>
    <t>In what form and fidelity should the original equipment manufacturers/developers and system operators exchange the IBR and grid models for comprehensive stability assurance of IBR-dominated grids?</t>
  </si>
  <si>
    <t>D3 - Bulk system services</t>
  </si>
  <si>
    <t>What mechanisms and appropriate aggregate DER representations and data are necessary to account for DERs in system-wide operation and planning, and in techno economic evaluation?</t>
  </si>
  <si>
    <t>How can system operators quantify the bulk-level energy and service opportunities from DER, and how can these services be shared among distribution operators, bulk operators, aggregators and (where applicable) customers?</t>
  </si>
  <si>
    <t>How can bulk-level services provided by DER be valued as a compromise between simplicity and, for example, a complex full cost-reflective approach?</t>
  </si>
  <si>
    <t>DER Comunicationand&amp; Control (C&amp;C)</t>
  </si>
  <si>
    <t>D1 - DER Aggregation, measurement &amp; control</t>
  </si>
  <si>
    <t>What aggregate quantities must be monitored, screened, and validated to ensure reliable service provision from different DER categories and at what
temporal and/or spatial resolution must these processes occur?</t>
  </si>
  <si>
    <t>What is the communication capability needed to support monitoring and coordination of DER in terms of reliability, latency, bandwidth and (cyber) security?</t>
  </si>
  <si>
    <t>D2 - Data and control architecture</t>
  </si>
  <si>
    <t>What is a scalable data architecture for DER monitoring, modelling, and coordination in real-time that would be suitable for the control room?</t>
  </si>
  <si>
    <t>What are the relative merits of different coordination architectures for DER with respect to appropriateness for device characterizations, accounting for practical
constraints around communication and computation, different types of aggregators, different DER objectives and heterogeneity and existing distribution system operator/system operator schemes?</t>
  </si>
  <si>
    <t>C1 - Flexibility assessment</t>
  </si>
  <si>
    <t>How can the capabilities of grid-enhancing technologies (such as FACTS,SPS, RAS, DLR, PFC, WAMPAC) be integrated into the operational decision-making process?</t>
  </si>
  <si>
    <t>How can grid topology be flexibly adapted to be reliably integrated into the operational decision-making process with outage scheduling, transfer limit increase, and post contingency remedial actions?</t>
  </si>
  <si>
    <t>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t>
  </si>
  <si>
    <t>C2 - Data and digital architecture</t>
  </si>
  <si>
    <t>What type of digital architecture is best placed to enable modularity and the variety of software required to operate a control room in real time, near-real time, and in auto pilot mode?</t>
  </si>
  <si>
    <t>What is the best way to integrate large datasets, streaming information, and historical system performance to create actionable operational insights in an increasingly complex environment with multiple phenomena occurring within overlapping timescales?</t>
  </si>
  <si>
    <t>C3 - Security assessment</t>
  </si>
  <si>
    <t>How can the risk of high-impact low-probability events (weather-related and otherwise) be incorporated into security assessments in real time and operations planning?</t>
  </si>
  <si>
    <t>What metrics and their definitions (system strength, inertia, or others) need to be appropriately monitored or calculated to assess system dynamic behavior in real time, and what monitoring capabilities are necessary to support these assessments?</t>
  </si>
  <si>
    <t>C4 - Visualization</t>
  </si>
  <si>
    <t>What improvements can be made to predictive tools and visualization methodologies in operational applications within the control room to support decision-making in real-time operations?</t>
  </si>
  <si>
    <t>C5 - Forecasting</t>
  </si>
  <si>
    <t>How can risk-based methods (e.g. probabilistic forecasting techniques) be better incorporated into operational decision-support tools and used consistently across multiple stages (e.g., real-time, day ahead, intraday planning)?</t>
  </si>
  <si>
    <t>SS1 - System needs</t>
  </si>
  <si>
    <t>What system services are needed across different timescales and to the extent that services coexist within the same timescale, how should these services be designed to avoid competition and overlap? </t>
  </si>
  <si>
    <t>What are the needs of a power system expressed in technologically neutral form and how do these needs map to services that any resource (including data centers, other IBRs, DERs, high-voltage direct current links, etc.) can provide? </t>
  </si>
  <si>
    <t>How can system performance requirements be translated into reliable new technology solutions? </t>
  </si>
  <si>
    <t>For each service, how feasible is it to provide from IBR, what “cost” does it add, what limitations exist on its magnitude and duration and what are the trade-offs between the provision of services? </t>
  </si>
  <si>
    <t>SS2 - Services design</t>
  </si>
  <si>
    <t>How should system restoration services be structured and organized in systems with few or no synchronous machines, relying on IBR technologies and variable energy resources? </t>
  </si>
  <si>
    <t>How should the definitions of services for IBR-dominated grids be structured and can standard services and standard characteristics be defined as reasonable for large and small IBRs and across variable renewable energy, storage, demand response interfaces and for differing procurement mechanisms? </t>
  </si>
  <si>
    <t>What methods could determine the need, sufficiency, and locational nature of IBR voltage control and system strength services for a given area? </t>
  </si>
  <si>
    <t>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 </t>
  </si>
  <si>
    <t>What system services can be designed to enable response from IBRs that can be a substitute for inertia (i.e. very fast frequency response)?  </t>
  </si>
  <si>
    <t>P2 - Resource Adequacy</t>
  </si>
  <si>
    <t>What studies and metrics are required to identify long-term scarcity of resources (capacity, energy, flexibility etc.) to maintain reliability?   </t>
  </si>
  <si>
    <t>How should grid enhancing technologies be included in the planning processes? </t>
  </si>
  <si>
    <t>What technical models need to be added to long-term planning methods and studies to consider other reliability services in addition to traditional resource adequacy and deliverability?  For example, how should sufficient restoration capability be modeled in long-term reliability studies? </t>
  </si>
  <si>
    <t>What studies and metrics are required to evaluate resource adequacy with hybrid plants (e.g., photovoltaics-plus-storage) and virtual power plants? </t>
  </si>
  <si>
    <t>P1 - Planning under uncertainty</t>
  </si>
  <si>
    <t>What additional probabilistic planning methods and tools are necessary for planning a power system with a high share of IBRs and in particular, variable renewable energy resources? </t>
  </si>
  <si>
    <t>What additional planning models and methods are needed to plan for various levels of uncertainty and no-regrets investments in a paradigm of increasing electrification and growing IBR and DER penetrations? </t>
  </si>
  <si>
    <t>What changes can be incorporated into the transmission planning process, especially inter-regional planning, to unlock multi-value system benefits and accommodate new drivers of uncertainty (e.g., large growth due to electrification or low growth due to increased use of DERs)? </t>
  </si>
  <si>
    <t>What methods, processes, and products (e.g. services) can support effective valuation, integration, and procurement of long-duration energy storage? </t>
  </si>
  <si>
    <t>What additional load and resource forecasting models are necessary to account for electrification, including large loads (e.g., data centers), coupling of the transportation and building sectors, and demand-side flexibility? </t>
  </si>
  <si>
    <t>P3 - Extreme events</t>
  </si>
  <si>
    <t>What additional methods, tools, and metrics are necessary to incorporate resilience concepts and the ability to recover and adapt to adverse conditions, considering uncertain future states into planning a power system with a high share of renewables? </t>
  </si>
  <si>
    <t>How do system operators adequately account for the overall system impact of extreme events in planning studies, particularly those that impact the system with a high share of flexible resources in both supply and demand (wind, solar, demand-side flexibility)? </t>
  </si>
  <si>
    <t>What additional planning models and methods are needed to plan for a system that can withstand expected or unexpected lulls (e.g., an extended wind drought, or a dunkelflaute)?  </t>
  </si>
  <si>
    <t>other: optimal dispatch, congestion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</si>
</sst>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9"/>
      <name val="Aptos Narrow"/>
      <family val="2"/>
    </font>
    <font>
      <sz val="11"/>
      <name val="Calibri"/>
      <family val="2"/>
      <scheme val="minor"/>
    </font>
    <font>
      <sz val="10"/>
      <name val="Calibri"/>
      <family val="2"/>
      <scheme val="minor"/>
    </font>
    <font>
      <sz val="12"/>
      <name val="Calibri"/>
      <family val="2"/>
      <scheme val="minor"/>
    </font>
    <font>
      <sz val="9"/>
      <color theme="1"/>
      <name val="Calibri"/>
      <family val="2"/>
      <scheme val="minor"/>
    </font>
    <font>
      <b/>
      <sz val="9"/>
      <color indexed="81"/>
      <name val="Tahoma"/>
      <family val="2"/>
    </font>
    <font>
      <sz val="9"/>
      <color indexed="81"/>
      <name val="Tahoma"/>
      <family val="2"/>
    </font>
    <font>
      <sz val="11"/>
      <name val="Aptos Narrow"/>
      <family val="2"/>
    </font>
    <font>
      <sz val="9"/>
      <color rgb="FF808080"/>
      <name val="Calibri"/>
      <family val="2"/>
      <scheme val="minor"/>
    </font>
    <font>
      <i/>
      <sz val="9"/>
      <color rgb="FF808080"/>
      <name val="Calibri"/>
      <family val="2"/>
      <scheme val="minor"/>
    </font>
    <font>
      <sz val="9"/>
      <color rgb="FF000000"/>
      <name val="Calibri"/>
      <family val="2"/>
      <scheme val="minor"/>
    </font>
  </fonts>
  <fills count="5">
    <fill>
      <patternFill patternType="none"/>
    </fill>
    <fill>
      <patternFill patternType="gray125"/>
    </fill>
    <fill>
      <patternFill patternType="solid">
        <fgColor rgb="FFB8CCE4"/>
        <bgColor indexed="64"/>
      </patternFill>
    </fill>
    <fill>
      <patternFill patternType="solid">
        <fgColor theme="0"/>
        <bgColor indexed="64"/>
      </patternFill>
    </fill>
    <fill>
      <patternFill patternType="solid">
        <fgColor rgb="FFD9D9D9"/>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indexed="64"/>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bottom/>
      <diagonal/>
    </border>
  </borders>
  <cellStyleXfs count="1">
    <xf numFmtId="0" fontId="0" fillId="0" borderId="0"/>
  </cellStyleXfs>
  <cellXfs count="30">
    <xf numFmtId="0" fontId="0" fillId="0" borderId="0" xfId="0"/>
    <xf numFmtId="0" fontId="0" fillId="2" borderId="1" xfId="0" applyFill="1" applyBorder="1" applyAlignment="1">
      <alignment horizontal="center" vertical="center"/>
    </xf>
    <xf numFmtId="0" fontId="2" fillId="3" borderId="2" xfId="0" applyFont="1" applyFill="1" applyBorder="1" applyAlignment="1">
      <alignment vertical="center" wrapText="1"/>
    </xf>
    <xf numFmtId="0" fontId="3" fillId="3" borderId="2" xfId="0" applyFont="1" applyFill="1" applyBorder="1" applyAlignment="1">
      <alignment horizontal="center" vertical="center"/>
    </xf>
    <xf numFmtId="0" fontId="4" fillId="3" borderId="2" xfId="0" applyFont="1" applyFill="1" applyBorder="1" applyAlignment="1">
      <alignment horizontal="center" vertical="center" wrapText="1"/>
    </xf>
    <xf numFmtId="0" fontId="5" fillId="3" borderId="2" xfId="0" applyFont="1" applyFill="1" applyBorder="1" applyAlignment="1">
      <alignment horizontal="center" vertical="center"/>
    </xf>
    <xf numFmtId="0" fontId="2" fillId="3" borderId="3" xfId="0" applyFont="1" applyFill="1" applyBorder="1" applyAlignment="1">
      <alignment vertical="center" wrapText="1"/>
    </xf>
    <xf numFmtId="0" fontId="1" fillId="4" borderId="4" xfId="0" applyFont="1" applyFill="1" applyBorder="1" applyAlignment="1">
      <alignment horizontal="right"/>
    </xf>
    <xf numFmtId="0" fontId="1" fillId="4" borderId="5" xfId="0" applyFont="1" applyFill="1" applyBorder="1"/>
    <xf numFmtId="0" fontId="1" fillId="4" borderId="6" xfId="0" applyFont="1" applyFill="1" applyBorder="1"/>
    <xf numFmtId="0" fontId="1" fillId="0" borderId="0" xfId="0" applyFont="1" applyAlignment="1">
      <alignment horizontal="right"/>
    </xf>
    <xf numFmtId="0" fontId="0" fillId="0" borderId="0" xfId="0" applyAlignment="1">
      <alignment vertical="top"/>
    </xf>
    <xf numFmtId="0" fontId="1" fillId="0" borderId="0" xfId="0" applyFont="1" applyAlignment="1">
      <alignment horizontal="right" vertical="top"/>
    </xf>
    <xf numFmtId="0" fontId="1" fillId="0" borderId="0" xfId="0" applyFont="1"/>
    <xf numFmtId="0" fontId="0" fillId="0" borderId="0" xfId="0" applyAlignment="1">
      <alignment vertical="top" wrapText="1"/>
    </xf>
    <xf numFmtId="0" fontId="10" fillId="0" borderId="0" xfId="0" applyFont="1"/>
    <xf numFmtId="0" fontId="11" fillId="0" borderId="0" xfId="0" applyFont="1"/>
    <xf numFmtId="0" fontId="0" fillId="3" borderId="0" xfId="0" applyFill="1" applyAlignment="1">
      <alignment vertical="top" wrapText="1"/>
    </xf>
    <xf numFmtId="0" fontId="0" fillId="3" borderId="0" xfId="0" applyFill="1"/>
    <xf numFmtId="0" fontId="1" fillId="3" borderId="0" xfId="0" applyFont="1" applyFill="1"/>
    <xf numFmtId="0" fontId="0" fillId="3" borderId="0" xfId="0" applyFill="1" applyAlignment="1">
      <alignment wrapText="1"/>
    </xf>
    <xf numFmtId="0" fontId="6" fillId="0" borderId="2" xfId="0" applyFont="1" applyBorder="1" applyAlignment="1">
      <alignment vertical="top" wrapText="1"/>
    </xf>
    <xf numFmtId="0" fontId="0" fillId="2" borderId="7" xfId="0" applyFill="1" applyBorder="1" applyAlignment="1">
      <alignment horizontal="center"/>
    </xf>
    <xf numFmtId="0" fontId="1" fillId="0" borderId="2" xfId="0" applyFont="1" applyBorder="1" applyAlignment="1">
      <alignment horizontal="center"/>
    </xf>
    <xf numFmtId="0" fontId="12" fillId="0" borderId="2" xfId="0" applyFont="1" applyBorder="1" applyAlignment="1">
      <alignment vertical="top" wrapText="1"/>
    </xf>
    <xf numFmtId="0" fontId="9" fillId="3"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3" fillId="3" borderId="2" xfId="0" applyFont="1" applyFill="1" applyBorder="1" applyAlignment="1">
      <alignment horizontal="center" vertical="center"/>
    </xf>
    <xf numFmtId="0" fontId="4" fillId="3" borderId="3" xfId="0" applyFont="1" applyFill="1" applyBorder="1" applyAlignment="1">
      <alignment horizontal="center" vertical="center" wrapText="1"/>
    </xf>
    <xf numFmtId="0" fontId="3" fillId="3" borderId="2" xfId="0" applyFont="1" applyFill="1" applyBorder="1" applyAlignment="1">
      <alignment horizontal="center" vertical="center" wrapText="1"/>
    </xf>
  </cellXfs>
  <cellStyles count="1">
    <cellStyle name="Normal" xfId="0" builtinId="0"/>
  </cellStyles>
  <dxfs count="1">
    <dxf>
      <fill>
        <patternFill patternType="solid">
          <fgColor indexed="64"/>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imperiallondon-my.sharepoint.com/personal/pgallego_ic_ac_uk/Documents/RA/Research%20agenda/G-PST%20shared%20folder/Research%20Repository%202026%20Update/Data%20collection/contacting%20contributors/Responses/Shared%20projects/GPST%20Research%20Repository%20-%20Dobschinski%20Jan.xlsx" TargetMode="External"/><Relationship Id="rId2" Type="http://schemas.microsoft.com/office/2019/04/relationships/externalLinkLongPath" Target="/personal/pgallego_ic_ac_uk/Documents/RA/Research%20agenda/G-PST%20shared%20folder/Research%20Repository%202026%20Update/to%20delete/Data%20collection/contacting%20contributors/Responses/Shared%20projects/GPST%20Research%20Repository%20-%20Dobschinski%20Jan.xlsx?5A545097" TargetMode="External"/><Relationship Id="rId1" Type="http://schemas.openxmlformats.org/officeDocument/2006/relationships/externalLinkPath" Target="file:///\\5A545097\GPST%20Research%20Repository%20-%20Dobschinski%20Jan.xlsx" TargetMode="External"/><Relationship Id="rId4" Type="http://schemas.openxmlformats.org/officeDocument/2006/relationships/externalLinkPath" Target="../../../../../RA/Research%20agenda/G-PST%20shared%20folder/Research%20Repository%202026%20Update/to%20delete/Data%20collection/contacting%20contributors/Responses/Shared%20projects/GPST%20Research%20Repository%20-%20Dobschinski%20Jan.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RA/Research%20agenda/G-PST%20shared%20folder/Research%20Repository%202026%20Update/to%20delete/GPST%20Research%20Repository%20Master%20File.xlsx" TargetMode="External"/><Relationship Id="rId2" Type="http://schemas.openxmlformats.org/officeDocument/2006/relationships/externalLinkPath" Target="https://imperiallondon-my.sharepoint.com/personal/pgallego_ic_ac_uk/Documents/RA/Research%20agenda/G-PST%20shared%20folder/Research%20Repository%202026%20Update/to%20delete/GPST%20Research%20Repository%20Master%20File.xlsx" TargetMode="External"/><Relationship Id="rId1" Type="http://schemas.openxmlformats.org/officeDocument/2006/relationships/externalLinkPath" Target="/personal/pgallego_ic_ac_uk/Documents/RA/Research%20agenda/G-PST%20shared%20folder/Research%20Repository%202026%20Update/to%20delete/GPST%20Research%20Repository%20Master%20F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To Fill In"/>
      <sheetName val="Description"/>
      <sheetName val="Research Agenda Questions"/>
      <sheetName val="Previous Projects"/>
      <sheetName val="Lookups"/>
    </sheetNames>
    <sheetDataSet>
      <sheetData sheetId="0" refreshError="1"/>
      <sheetData sheetId="1" refreshError="1"/>
      <sheetData sheetId="2" refreshError="1"/>
      <sheetData sheetId="3" refreshError="1"/>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ster List"/>
      <sheetName val="2026 Master List"/>
      <sheetName val="2024 Master List"/>
      <sheetName val="Lookups"/>
      <sheetName val="Project listing new RQa"/>
    </sheetNames>
    <sheetDataSet>
      <sheetData sheetId="0" refreshError="1"/>
      <sheetData sheetId="1" refreshError="1"/>
      <sheetData sheetId="2" refreshError="1"/>
      <sheetData sheetId="3"/>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8">
    <wetp:webextensionref xmlns:r="http://schemas.openxmlformats.org/officeDocument/2006/relationships" r:id="rId1"/>
  </wetp:taskpane>
  <wetp:taskpane dockstate="right" visibility="0" width="525"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7612E603-B942-45C2-BF6A-5ACC807DFB20}">
  <we:reference id="WA200009404" version="1.0.0.8" store="Omex" storeType="OMEX"/>
  <we:alternateReferences>
    <we:reference id="WA200009404" version="1.0.0.8" store="WA200009404" storeType="OMEX"/>
  </we:alternateReferences>
  <we:properties>
    <we:property name="claude.fileId" value="&quot;6cb87ebf-93f1-47d2-b469-f9066d843e96&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BFA97B5B-AB69-460D-ADF2-C321D94B85A0}">
  <we:reference id="WA200010725" version="1.0.0.1" store="Omex" storeType="OMEX"/>
  <we:alternateReferences>
    <we:reference id="WA200010725" version="1.0.0.1" store="WA200010725" storeType="OMEX"/>
  </we:alternateReferences>
  <we:properties>
    <we:property name="claude.fileId" value="&quot;a26123a5-adf7-409e-baee-de739f7ff99f&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7654F-40FC-4478-B2BA-3086A69AA25E}">
  <sheetPr codeName="Sheet1"/>
  <dimension ref="A1:A10"/>
  <sheetViews>
    <sheetView topLeftCell="A5" workbookViewId="0">
      <selection activeCell="A10" sqref="A10"/>
    </sheetView>
  </sheetViews>
  <sheetFormatPr defaultColWidth="9.140625" defaultRowHeight="15" x14ac:dyDescent="0.25"/>
  <cols>
    <col min="1" max="1" width="201.5703125" style="18" customWidth="1"/>
    <col min="2" max="16384" width="9.140625" style="18"/>
  </cols>
  <sheetData>
    <row r="1" spans="1:1" ht="105" x14ac:dyDescent="0.25">
      <c r="A1" s="17" t="s">
        <v>0</v>
      </c>
    </row>
    <row r="2" spans="1:1" ht="315" x14ac:dyDescent="0.25">
      <c r="A2" s="17" t="s">
        <v>1</v>
      </c>
    </row>
    <row r="3" spans="1:1" x14ac:dyDescent="0.25">
      <c r="A3" s="19" t="s">
        <v>2</v>
      </c>
    </row>
    <row r="4" spans="1:1" ht="90" x14ac:dyDescent="0.25">
      <c r="A4" s="17" t="s">
        <v>3</v>
      </c>
    </row>
    <row r="5" spans="1:1" ht="90" x14ac:dyDescent="0.25">
      <c r="A5" s="17" t="s">
        <v>4</v>
      </c>
    </row>
    <row r="6" spans="1:1" ht="90" x14ac:dyDescent="0.25">
      <c r="A6" s="17" t="s">
        <v>5</v>
      </c>
    </row>
    <row r="7" spans="1:1" ht="90" x14ac:dyDescent="0.25">
      <c r="A7" s="17" t="s">
        <v>6</v>
      </c>
    </row>
    <row r="8" spans="1:1" ht="90" x14ac:dyDescent="0.25">
      <c r="A8" s="17" t="s">
        <v>7</v>
      </c>
    </row>
    <row r="9" spans="1:1" ht="75" x14ac:dyDescent="0.25">
      <c r="A9" s="17" t="s">
        <v>8</v>
      </c>
    </row>
    <row r="10" spans="1:1" x14ac:dyDescent="0.25">
      <c r="A10" s="2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69794-9DA9-4292-8DF4-249CFA06255E}">
  <sheetPr codeName="Sheet6"/>
  <dimension ref="A1:E106"/>
  <sheetViews>
    <sheetView topLeftCell="A14" workbookViewId="0">
      <selection activeCell="C14" sqref="C14"/>
    </sheetView>
  </sheetViews>
  <sheetFormatPr defaultRowHeight="15" x14ac:dyDescent="0.25"/>
  <cols>
    <col min="1" max="1" width="26.42578125" bestFit="1" customWidth="1"/>
    <col min="2" max="2" width="14.85546875" customWidth="1"/>
    <col min="3" max="3" width="129.85546875" customWidth="1"/>
    <col min="4" max="4" width="18.85546875" bestFit="1" customWidth="1"/>
    <col min="5" max="5" width="12.140625" bestFit="1" customWidth="1"/>
    <col min="6" max="6" width="5.42578125" bestFit="1" customWidth="1"/>
  </cols>
  <sheetData>
    <row r="1" spans="1:5" x14ac:dyDescent="0.25">
      <c r="A1" s="13" t="s">
        <v>9</v>
      </c>
      <c r="B1" s="13" t="s">
        <v>10</v>
      </c>
      <c r="C1" s="13" t="s">
        <v>11</v>
      </c>
    </row>
    <row r="2" spans="1:5" ht="225" x14ac:dyDescent="0.25">
      <c r="A2" s="11" t="s">
        <v>12</v>
      </c>
      <c r="B2" s="14" t="s">
        <v>13</v>
      </c>
      <c r="C2" s="14" t="s">
        <v>14</v>
      </c>
    </row>
    <row r="3" spans="1:5" ht="135" x14ac:dyDescent="0.25">
      <c r="A3" s="11" t="s">
        <v>15</v>
      </c>
      <c r="B3" s="14" t="s">
        <v>16</v>
      </c>
      <c r="C3" s="14" t="s">
        <v>17</v>
      </c>
      <c r="E3" s="11"/>
    </row>
    <row r="4" spans="1:5" ht="165" x14ac:dyDescent="0.25">
      <c r="A4" s="11" t="s">
        <v>18</v>
      </c>
      <c r="B4" s="14" t="s">
        <v>19</v>
      </c>
      <c r="C4" s="14" t="s">
        <v>20</v>
      </c>
      <c r="E4" s="11"/>
    </row>
    <row r="5" spans="1:5" ht="180" x14ac:dyDescent="0.25">
      <c r="A5" s="11" t="s">
        <v>21</v>
      </c>
      <c r="B5" s="14" t="s">
        <v>22</v>
      </c>
      <c r="C5" s="14" t="s">
        <v>23</v>
      </c>
      <c r="E5" s="11"/>
    </row>
    <row r="6" spans="1:5" ht="165" x14ac:dyDescent="0.25">
      <c r="A6" s="11" t="s">
        <v>24</v>
      </c>
      <c r="B6" s="14" t="s">
        <v>25</v>
      </c>
      <c r="C6" s="14" t="s">
        <v>26</v>
      </c>
      <c r="E6" s="11"/>
    </row>
    <row r="7" spans="1:5" ht="135" x14ac:dyDescent="0.25">
      <c r="A7" s="11" t="s">
        <v>27</v>
      </c>
      <c r="B7" s="14" t="s">
        <v>28</v>
      </c>
      <c r="C7" s="14" t="s">
        <v>29</v>
      </c>
      <c r="E7" s="11"/>
    </row>
    <row r="8" spans="1:5" ht="180" x14ac:dyDescent="0.25">
      <c r="A8" s="11" t="s">
        <v>30</v>
      </c>
      <c r="B8" s="14" t="s">
        <v>31</v>
      </c>
      <c r="C8" s="14" t="s">
        <v>32</v>
      </c>
      <c r="E8" s="11"/>
    </row>
    <row r="9" spans="1:5" ht="225" x14ac:dyDescent="0.25">
      <c r="A9" s="11" t="s">
        <v>33</v>
      </c>
      <c r="B9" s="14" t="s">
        <v>34</v>
      </c>
      <c r="C9" s="14" t="s">
        <v>35</v>
      </c>
      <c r="E9" s="11"/>
    </row>
    <row r="10" spans="1:5" ht="150" x14ac:dyDescent="0.25">
      <c r="A10" s="11" t="s">
        <v>36</v>
      </c>
      <c r="B10" s="14" t="s">
        <v>37</v>
      </c>
      <c r="C10" s="14" t="s">
        <v>38</v>
      </c>
      <c r="E10" s="11"/>
    </row>
    <row r="11" spans="1:5" ht="180" x14ac:dyDescent="0.25">
      <c r="A11" s="11" t="s">
        <v>39</v>
      </c>
      <c r="B11" s="14" t="s">
        <v>40</v>
      </c>
      <c r="C11" s="14" t="s">
        <v>41</v>
      </c>
      <c r="E11" s="11"/>
    </row>
    <row r="12" spans="1:5" ht="165" x14ac:dyDescent="0.25">
      <c r="A12" s="11" t="s">
        <v>42</v>
      </c>
      <c r="B12" s="14" t="s">
        <v>43</v>
      </c>
      <c r="C12" s="14" t="s">
        <v>44</v>
      </c>
      <c r="E12" s="11"/>
    </row>
    <row r="13" spans="1:5" ht="150" x14ac:dyDescent="0.25">
      <c r="A13" s="11" t="s">
        <v>45</v>
      </c>
      <c r="B13" s="14" t="s">
        <v>46</v>
      </c>
      <c r="C13" s="14" t="s">
        <v>47</v>
      </c>
      <c r="E13" s="11"/>
    </row>
    <row r="14" spans="1:5" ht="195" x14ac:dyDescent="0.25">
      <c r="A14" s="11" t="s">
        <v>48</v>
      </c>
      <c r="B14" s="14" t="s">
        <v>49</v>
      </c>
      <c r="C14" s="14" t="s">
        <v>50</v>
      </c>
      <c r="E14" s="11"/>
    </row>
    <row r="15" spans="1:5" ht="135" x14ac:dyDescent="0.25">
      <c r="A15" s="11" t="s">
        <v>51</v>
      </c>
      <c r="B15" s="14" t="s">
        <v>52</v>
      </c>
      <c r="C15" s="14" t="s">
        <v>53</v>
      </c>
      <c r="E15" s="11"/>
    </row>
    <row r="16" spans="1:5" ht="150" x14ac:dyDescent="0.25">
      <c r="A16" s="11" t="s">
        <v>54</v>
      </c>
      <c r="B16" s="14" t="s">
        <v>55</v>
      </c>
      <c r="C16" s="14" t="s">
        <v>56</v>
      </c>
      <c r="E16" s="11"/>
    </row>
    <row r="17" spans="1:5" ht="150" x14ac:dyDescent="0.25">
      <c r="A17" s="11" t="s">
        <v>57</v>
      </c>
      <c r="B17" s="14" t="s">
        <v>58</v>
      </c>
      <c r="C17" s="14" t="s">
        <v>59</v>
      </c>
      <c r="E17" s="11"/>
    </row>
    <row r="18" spans="1:5" ht="165" x14ac:dyDescent="0.25">
      <c r="A18" s="11" t="s">
        <v>60</v>
      </c>
      <c r="B18" s="14" t="s">
        <v>61</v>
      </c>
      <c r="C18" s="14" t="s">
        <v>62</v>
      </c>
      <c r="E18" s="11"/>
    </row>
    <row r="19" spans="1:5" ht="150" x14ac:dyDescent="0.25">
      <c r="A19" s="11" t="s">
        <v>63</v>
      </c>
      <c r="B19" s="14" t="s">
        <v>64</v>
      </c>
      <c r="C19" s="14" t="s">
        <v>65</v>
      </c>
      <c r="E19" s="11"/>
    </row>
    <row r="20" spans="1:5" ht="150" x14ac:dyDescent="0.25">
      <c r="A20" s="11" t="s">
        <v>66</v>
      </c>
      <c r="B20" s="14" t="s">
        <v>67</v>
      </c>
      <c r="C20" s="14" t="s">
        <v>68</v>
      </c>
      <c r="E20" s="11"/>
    </row>
    <row r="21" spans="1:5" ht="135" x14ac:dyDescent="0.25">
      <c r="A21" s="11" t="s">
        <v>69</v>
      </c>
      <c r="B21" s="14" t="s">
        <v>70</v>
      </c>
      <c r="C21" s="14" t="s">
        <v>71</v>
      </c>
      <c r="E21" s="11"/>
    </row>
    <row r="22" spans="1:5" ht="150" x14ac:dyDescent="0.25">
      <c r="A22" s="11" t="s">
        <v>72</v>
      </c>
      <c r="B22" s="14" t="s">
        <v>73</v>
      </c>
      <c r="C22" s="14" t="s">
        <v>74</v>
      </c>
    </row>
    <row r="23" spans="1:5" ht="120" x14ac:dyDescent="0.25">
      <c r="A23" s="11" t="s">
        <v>75</v>
      </c>
      <c r="B23" s="14" t="s">
        <v>76</v>
      </c>
      <c r="C23" s="14" t="s">
        <v>77</v>
      </c>
    </row>
    <row r="24" spans="1:5" ht="180" x14ac:dyDescent="0.25">
      <c r="A24" s="11" t="s">
        <v>78</v>
      </c>
      <c r="B24" s="14" t="s">
        <v>79</v>
      </c>
      <c r="C24" s="14" t="s">
        <v>80</v>
      </c>
    </row>
    <row r="25" spans="1:5" ht="180" x14ac:dyDescent="0.25">
      <c r="A25" s="11" t="s">
        <v>81</v>
      </c>
      <c r="B25" s="14" t="s">
        <v>82</v>
      </c>
      <c r="C25" s="14" t="s">
        <v>83</v>
      </c>
    </row>
    <row r="26" spans="1:5" ht="165" x14ac:dyDescent="0.25">
      <c r="A26" s="11" t="s">
        <v>84</v>
      </c>
      <c r="B26" s="14" t="s">
        <v>85</v>
      </c>
      <c r="C26" s="14" t="s">
        <v>86</v>
      </c>
    </row>
    <row r="27" spans="1:5" ht="135" x14ac:dyDescent="0.25">
      <c r="A27" s="11" t="s">
        <v>87</v>
      </c>
      <c r="B27" s="14" t="s">
        <v>88</v>
      </c>
      <c r="C27" s="14" t="s">
        <v>89</v>
      </c>
    </row>
    <row r="28" spans="1:5" ht="150" x14ac:dyDescent="0.25">
      <c r="A28" s="11" t="s">
        <v>90</v>
      </c>
      <c r="B28" s="14" t="s">
        <v>91</v>
      </c>
      <c r="C28" s="14" t="s">
        <v>92</v>
      </c>
    </row>
    <row r="29" spans="1:5" ht="165" x14ac:dyDescent="0.25">
      <c r="A29" s="11" t="s">
        <v>93</v>
      </c>
      <c r="B29" s="14" t="s">
        <v>94</v>
      </c>
      <c r="C29" s="14" t="s">
        <v>95</v>
      </c>
    </row>
    <row r="30" spans="1:5" ht="165" x14ac:dyDescent="0.25">
      <c r="A30" s="11" t="s">
        <v>96</v>
      </c>
      <c r="B30" s="14" t="s">
        <v>97</v>
      </c>
      <c r="C30" s="14" t="s">
        <v>98</v>
      </c>
    </row>
    <row r="31" spans="1:5" ht="135" x14ac:dyDescent="0.25">
      <c r="A31" s="11" t="s">
        <v>99</v>
      </c>
      <c r="B31" s="14" t="s">
        <v>100</v>
      </c>
      <c r="C31" s="14" t="s">
        <v>101</v>
      </c>
    </row>
    <row r="32" spans="1:5" ht="135" x14ac:dyDescent="0.25">
      <c r="A32" s="11" t="s">
        <v>102</v>
      </c>
      <c r="B32" s="14" t="s">
        <v>103</v>
      </c>
      <c r="C32" s="14" t="s">
        <v>104</v>
      </c>
    </row>
    <row r="33" spans="1:3" ht="150" x14ac:dyDescent="0.25">
      <c r="A33" s="11" t="s">
        <v>105</v>
      </c>
      <c r="B33" s="14" t="s">
        <v>106</v>
      </c>
      <c r="C33" s="14" t="s">
        <v>107</v>
      </c>
    </row>
    <row r="34" spans="1:3" ht="180" x14ac:dyDescent="0.25">
      <c r="A34" s="11" t="s">
        <v>108</v>
      </c>
      <c r="B34" s="14" t="s">
        <v>109</v>
      </c>
      <c r="C34" s="14" t="s">
        <v>110</v>
      </c>
    </row>
    <row r="35" spans="1:3" ht="150" x14ac:dyDescent="0.25">
      <c r="A35" s="11" t="s">
        <v>111</v>
      </c>
      <c r="B35" s="14" t="s">
        <v>112</v>
      </c>
      <c r="C35" s="14" t="s">
        <v>113</v>
      </c>
    </row>
    <row r="36" spans="1:3" ht="180" x14ac:dyDescent="0.25">
      <c r="A36" s="11" t="s">
        <v>114</v>
      </c>
      <c r="B36" s="14" t="s">
        <v>115</v>
      </c>
      <c r="C36" s="14" t="s">
        <v>116</v>
      </c>
    </row>
    <row r="37" spans="1:3" ht="135" x14ac:dyDescent="0.25">
      <c r="A37" s="11" t="s">
        <v>117</v>
      </c>
      <c r="B37" s="14" t="s">
        <v>118</v>
      </c>
      <c r="C37" s="14" t="s">
        <v>119</v>
      </c>
    </row>
    <row r="38" spans="1:3" ht="150" x14ac:dyDescent="0.25">
      <c r="A38" s="11" t="s">
        <v>120</v>
      </c>
      <c r="B38" s="14" t="s">
        <v>121</v>
      </c>
      <c r="C38" s="14" t="s">
        <v>122</v>
      </c>
    </row>
    <row r="39" spans="1:3" ht="165" x14ac:dyDescent="0.25">
      <c r="A39" s="11" t="s">
        <v>123</v>
      </c>
      <c r="B39" s="14" t="s">
        <v>124</v>
      </c>
      <c r="C39" s="14" t="s">
        <v>125</v>
      </c>
    </row>
    <row r="40" spans="1:3" ht="150" x14ac:dyDescent="0.25">
      <c r="A40" s="11" t="s">
        <v>126</v>
      </c>
      <c r="B40" s="14" t="s">
        <v>127</v>
      </c>
      <c r="C40" s="14" t="s">
        <v>128</v>
      </c>
    </row>
    <row r="41" spans="1:3" ht="165" x14ac:dyDescent="0.25">
      <c r="A41" s="11" t="s">
        <v>129</v>
      </c>
      <c r="B41" s="14" t="s">
        <v>130</v>
      </c>
      <c r="C41" s="14" t="s">
        <v>131</v>
      </c>
    </row>
    <row r="42" spans="1:3" ht="180" x14ac:dyDescent="0.25">
      <c r="A42" s="11" t="s">
        <v>132</v>
      </c>
      <c r="B42" s="14" t="s">
        <v>133</v>
      </c>
      <c r="C42" s="14" t="s">
        <v>134</v>
      </c>
    </row>
    <row r="43" spans="1:3" ht="180" x14ac:dyDescent="0.25">
      <c r="A43" s="11" t="s">
        <v>135</v>
      </c>
      <c r="B43" s="14" t="s">
        <v>136</v>
      </c>
      <c r="C43" s="14" t="s">
        <v>137</v>
      </c>
    </row>
    <row r="44" spans="1:3" ht="165" x14ac:dyDescent="0.25">
      <c r="A44" s="11" t="s">
        <v>138</v>
      </c>
      <c r="B44" s="14" t="s">
        <v>139</v>
      </c>
      <c r="C44" s="14" t="s">
        <v>140</v>
      </c>
    </row>
    <row r="45" spans="1:3" ht="180" x14ac:dyDescent="0.25">
      <c r="A45" s="11" t="s">
        <v>141</v>
      </c>
      <c r="B45" s="14" t="s">
        <v>142</v>
      </c>
      <c r="C45" s="14" t="s">
        <v>143</v>
      </c>
    </row>
    <row r="46" spans="1:3" ht="135" x14ac:dyDescent="0.25">
      <c r="A46" s="11" t="s">
        <v>144</v>
      </c>
      <c r="B46" s="14" t="s">
        <v>145</v>
      </c>
      <c r="C46" s="14" t="s">
        <v>146</v>
      </c>
    </row>
    <row r="47" spans="1:3" ht="165" x14ac:dyDescent="0.25">
      <c r="A47" s="11" t="s">
        <v>147</v>
      </c>
      <c r="B47" s="14" t="s">
        <v>148</v>
      </c>
      <c r="C47" s="14" t="s">
        <v>149</v>
      </c>
    </row>
    <row r="48" spans="1:3" ht="150" x14ac:dyDescent="0.25">
      <c r="A48" s="11" t="s">
        <v>150</v>
      </c>
      <c r="B48" s="14" t="s">
        <v>151</v>
      </c>
      <c r="C48" s="14" t="s">
        <v>152</v>
      </c>
    </row>
    <row r="49" spans="1:3" ht="210" x14ac:dyDescent="0.25">
      <c r="A49" s="11" t="s">
        <v>153</v>
      </c>
      <c r="B49" s="14" t="s">
        <v>154</v>
      </c>
      <c r="C49" s="14" t="s">
        <v>155</v>
      </c>
    </row>
    <row r="50" spans="1:3" ht="180" x14ac:dyDescent="0.25">
      <c r="A50" s="11" t="s">
        <v>156</v>
      </c>
      <c r="B50" s="14" t="s">
        <v>157</v>
      </c>
      <c r="C50" s="14" t="s">
        <v>158</v>
      </c>
    </row>
    <row r="51" spans="1:3" ht="150" x14ac:dyDescent="0.25">
      <c r="A51" s="11" t="s">
        <v>159</v>
      </c>
      <c r="B51" s="14" t="s">
        <v>160</v>
      </c>
      <c r="C51" s="14" t="s">
        <v>161</v>
      </c>
    </row>
    <row r="52" spans="1:3" ht="150" x14ac:dyDescent="0.25">
      <c r="A52" s="11" t="s">
        <v>162</v>
      </c>
      <c r="B52" s="14" t="s">
        <v>163</v>
      </c>
      <c r="C52" s="14" t="s">
        <v>164</v>
      </c>
    </row>
    <row r="53" spans="1:3" ht="135" x14ac:dyDescent="0.25">
      <c r="A53" s="11" t="s">
        <v>165</v>
      </c>
      <c r="B53" s="14" t="s">
        <v>166</v>
      </c>
      <c r="C53" s="14" t="s">
        <v>167</v>
      </c>
    </row>
    <row r="54" spans="1:3" ht="165" x14ac:dyDescent="0.25">
      <c r="A54" s="11" t="s">
        <v>168</v>
      </c>
      <c r="B54" s="14" t="s">
        <v>169</v>
      </c>
      <c r="C54" s="14" t="s">
        <v>170</v>
      </c>
    </row>
    <row r="55" spans="1:3" ht="195" x14ac:dyDescent="0.25">
      <c r="A55" s="11" t="s">
        <v>171</v>
      </c>
      <c r="B55" s="14" t="s">
        <v>172</v>
      </c>
      <c r="C55" s="14" t="s">
        <v>173</v>
      </c>
    </row>
    <row r="56" spans="1:3" ht="150" x14ac:dyDescent="0.25">
      <c r="A56" s="11" t="s">
        <v>174</v>
      </c>
      <c r="B56" s="14" t="s">
        <v>175</v>
      </c>
      <c r="C56" s="14" t="s">
        <v>176</v>
      </c>
    </row>
    <row r="57" spans="1:3" ht="120" x14ac:dyDescent="0.25">
      <c r="A57" s="11" t="s">
        <v>177</v>
      </c>
      <c r="B57" s="14" t="s">
        <v>178</v>
      </c>
      <c r="C57" s="14" t="s">
        <v>179</v>
      </c>
    </row>
    <row r="58" spans="1:3" ht="135" x14ac:dyDescent="0.25">
      <c r="A58" s="11" t="s">
        <v>180</v>
      </c>
      <c r="B58" s="14" t="s">
        <v>181</v>
      </c>
      <c r="C58" s="14" t="s">
        <v>182</v>
      </c>
    </row>
    <row r="59" spans="1:3" ht="135" x14ac:dyDescent="0.25">
      <c r="A59" s="11" t="s">
        <v>183</v>
      </c>
      <c r="B59" s="14" t="s">
        <v>184</v>
      </c>
      <c r="C59" s="14" t="s">
        <v>185</v>
      </c>
    </row>
    <row r="60" spans="1:3" ht="150" x14ac:dyDescent="0.25">
      <c r="A60" s="11" t="s">
        <v>186</v>
      </c>
      <c r="B60" s="14" t="s">
        <v>187</v>
      </c>
      <c r="C60" s="14" t="s">
        <v>188</v>
      </c>
    </row>
    <row r="61" spans="1:3" ht="135" x14ac:dyDescent="0.25">
      <c r="A61" s="11" t="s">
        <v>189</v>
      </c>
      <c r="B61" s="14" t="s">
        <v>190</v>
      </c>
      <c r="C61" s="14" t="s">
        <v>191</v>
      </c>
    </row>
    <row r="62" spans="1:3" ht="165" x14ac:dyDescent="0.25">
      <c r="A62" s="11" t="s">
        <v>192</v>
      </c>
      <c r="B62" s="14" t="s">
        <v>193</v>
      </c>
      <c r="C62" s="14" t="s">
        <v>194</v>
      </c>
    </row>
    <row r="63" spans="1:3" ht="165" x14ac:dyDescent="0.25">
      <c r="A63" s="11" t="s">
        <v>195</v>
      </c>
      <c r="B63" s="14" t="s">
        <v>196</v>
      </c>
      <c r="C63" s="14" t="s">
        <v>197</v>
      </c>
    </row>
    <row r="64" spans="1:3" ht="120" x14ac:dyDescent="0.25">
      <c r="A64" s="11" t="s">
        <v>198</v>
      </c>
      <c r="B64" s="14" t="s">
        <v>199</v>
      </c>
      <c r="C64" s="14" t="s">
        <v>200</v>
      </c>
    </row>
    <row r="65" spans="1:3" ht="150" x14ac:dyDescent="0.25">
      <c r="A65" s="11" t="s">
        <v>201</v>
      </c>
      <c r="B65" s="14" t="s">
        <v>202</v>
      </c>
      <c r="C65" s="14" t="s">
        <v>203</v>
      </c>
    </row>
    <row r="66" spans="1:3" ht="165" x14ac:dyDescent="0.25">
      <c r="A66" s="11" t="s">
        <v>204</v>
      </c>
      <c r="B66" s="14" t="s">
        <v>205</v>
      </c>
      <c r="C66" s="14" t="s">
        <v>206</v>
      </c>
    </row>
    <row r="67" spans="1:3" ht="165" x14ac:dyDescent="0.25">
      <c r="A67" s="11" t="s">
        <v>207</v>
      </c>
      <c r="B67" s="14" t="s">
        <v>208</v>
      </c>
      <c r="C67" s="14" t="s">
        <v>209</v>
      </c>
    </row>
    <row r="68" spans="1:3" ht="180" x14ac:dyDescent="0.25">
      <c r="A68" s="11" t="s">
        <v>210</v>
      </c>
      <c r="B68" s="14" t="s">
        <v>211</v>
      </c>
      <c r="C68" s="14" t="s">
        <v>212</v>
      </c>
    </row>
    <row r="69" spans="1:3" ht="180" x14ac:dyDescent="0.25">
      <c r="A69" s="11" t="s">
        <v>213</v>
      </c>
      <c r="B69" s="14" t="s">
        <v>214</v>
      </c>
      <c r="C69" s="14" t="s">
        <v>215</v>
      </c>
    </row>
    <row r="70" spans="1:3" ht="165" x14ac:dyDescent="0.25">
      <c r="A70" s="11" t="s">
        <v>216</v>
      </c>
      <c r="B70" s="14" t="s">
        <v>217</v>
      </c>
      <c r="C70" s="14" t="s">
        <v>218</v>
      </c>
    </row>
    <row r="71" spans="1:3" ht="135" x14ac:dyDescent="0.25">
      <c r="A71" s="11" t="s">
        <v>219</v>
      </c>
      <c r="B71" s="14" t="s">
        <v>220</v>
      </c>
      <c r="C71" s="14" t="s">
        <v>221</v>
      </c>
    </row>
    <row r="72" spans="1:3" ht="120" x14ac:dyDescent="0.25">
      <c r="A72" s="11" t="s">
        <v>222</v>
      </c>
      <c r="B72" s="14" t="s">
        <v>223</v>
      </c>
      <c r="C72" s="14" t="s">
        <v>224</v>
      </c>
    </row>
    <row r="73" spans="1:3" ht="180" x14ac:dyDescent="0.25">
      <c r="A73" s="11" t="s">
        <v>225</v>
      </c>
      <c r="B73" s="14" t="s">
        <v>226</v>
      </c>
      <c r="C73" s="14" t="s">
        <v>227</v>
      </c>
    </row>
    <row r="74" spans="1:3" ht="165" x14ac:dyDescent="0.25">
      <c r="A74" s="11" t="s">
        <v>228</v>
      </c>
      <c r="B74" s="14" t="s">
        <v>229</v>
      </c>
      <c r="C74" s="14" t="s">
        <v>230</v>
      </c>
    </row>
    <row r="75" spans="1:3" ht="180" x14ac:dyDescent="0.25">
      <c r="A75" s="11" t="s">
        <v>231</v>
      </c>
      <c r="B75" s="14" t="s">
        <v>232</v>
      </c>
      <c r="C75" s="14" t="s">
        <v>233</v>
      </c>
    </row>
    <row r="76" spans="1:3" ht="195" x14ac:dyDescent="0.25">
      <c r="A76" s="11" t="s">
        <v>234</v>
      </c>
      <c r="B76" s="14" t="s">
        <v>235</v>
      </c>
      <c r="C76" s="14" t="s">
        <v>236</v>
      </c>
    </row>
    <row r="77" spans="1:3" ht="135" x14ac:dyDescent="0.25">
      <c r="A77" s="11" t="s">
        <v>237</v>
      </c>
      <c r="B77" s="14" t="s">
        <v>238</v>
      </c>
      <c r="C77" s="14" t="s">
        <v>239</v>
      </c>
    </row>
    <row r="78" spans="1:3" ht="165" x14ac:dyDescent="0.25">
      <c r="A78" s="11" t="s">
        <v>240</v>
      </c>
      <c r="B78" s="14" t="s">
        <v>241</v>
      </c>
      <c r="C78" s="14" t="s">
        <v>242</v>
      </c>
    </row>
    <row r="79" spans="1:3" ht="180" x14ac:dyDescent="0.25">
      <c r="A79" s="11" t="s">
        <v>243</v>
      </c>
      <c r="B79" s="14" t="s">
        <v>244</v>
      </c>
      <c r="C79" s="14" t="s">
        <v>245</v>
      </c>
    </row>
    <row r="80" spans="1:3" ht="165" x14ac:dyDescent="0.25">
      <c r="A80" s="11" t="s">
        <v>246</v>
      </c>
      <c r="B80" s="14" t="s">
        <v>247</v>
      </c>
      <c r="C80" s="14" t="s">
        <v>248</v>
      </c>
    </row>
    <row r="81" spans="1:3" ht="180" x14ac:dyDescent="0.25">
      <c r="A81" s="11" t="s">
        <v>249</v>
      </c>
      <c r="B81" s="14" t="s">
        <v>250</v>
      </c>
      <c r="C81" s="14" t="s">
        <v>251</v>
      </c>
    </row>
    <row r="82" spans="1:3" ht="165" x14ac:dyDescent="0.25">
      <c r="A82" s="11" t="s">
        <v>252</v>
      </c>
      <c r="B82" s="14" t="s">
        <v>253</v>
      </c>
      <c r="C82" s="14" t="s">
        <v>254</v>
      </c>
    </row>
    <row r="83" spans="1:3" ht="135" x14ac:dyDescent="0.25">
      <c r="A83" s="11" t="s">
        <v>255</v>
      </c>
      <c r="B83" s="14" t="s">
        <v>256</v>
      </c>
      <c r="C83" s="14" t="s">
        <v>257</v>
      </c>
    </row>
    <row r="84" spans="1:3" ht="150" x14ac:dyDescent="0.25">
      <c r="A84" s="11" t="s">
        <v>258</v>
      </c>
      <c r="B84" s="14" t="s">
        <v>259</v>
      </c>
      <c r="C84" s="14" t="s">
        <v>260</v>
      </c>
    </row>
    <row r="85" spans="1:3" ht="150" x14ac:dyDescent="0.25">
      <c r="A85" s="11" t="s">
        <v>261</v>
      </c>
      <c r="B85" s="14" t="s">
        <v>262</v>
      </c>
      <c r="C85" s="14" t="s">
        <v>263</v>
      </c>
    </row>
    <row r="86" spans="1:3" ht="165" x14ac:dyDescent="0.25">
      <c r="A86" s="11" t="s">
        <v>264</v>
      </c>
      <c r="B86" s="14" t="s">
        <v>265</v>
      </c>
      <c r="C86" s="14" t="s">
        <v>266</v>
      </c>
    </row>
    <row r="87" spans="1:3" ht="135" x14ac:dyDescent="0.25">
      <c r="A87" s="11" t="s">
        <v>267</v>
      </c>
      <c r="B87" s="14" t="s">
        <v>268</v>
      </c>
      <c r="C87" s="14" t="s">
        <v>269</v>
      </c>
    </row>
    <row r="88" spans="1:3" ht="135" x14ac:dyDescent="0.25">
      <c r="A88" s="11" t="s">
        <v>270</v>
      </c>
      <c r="B88" s="14" t="s">
        <v>271</v>
      </c>
      <c r="C88" s="14" t="s">
        <v>272</v>
      </c>
    </row>
    <row r="89" spans="1:3" ht="120" x14ac:dyDescent="0.25">
      <c r="A89" s="11" t="s">
        <v>273</v>
      </c>
      <c r="B89" s="14" t="s">
        <v>274</v>
      </c>
      <c r="C89" s="14" t="s">
        <v>275</v>
      </c>
    </row>
    <row r="90" spans="1:3" ht="180" x14ac:dyDescent="0.25">
      <c r="A90" s="11" t="s">
        <v>276</v>
      </c>
      <c r="B90" s="14" t="s">
        <v>277</v>
      </c>
      <c r="C90" s="14" t="s">
        <v>278</v>
      </c>
    </row>
    <row r="91" spans="1:3" ht="135" x14ac:dyDescent="0.25">
      <c r="A91" s="11" t="s">
        <v>279</v>
      </c>
      <c r="B91" s="14" t="s">
        <v>280</v>
      </c>
      <c r="C91" s="14" t="s">
        <v>281</v>
      </c>
    </row>
    <row r="92" spans="1:3" ht="165" x14ac:dyDescent="0.25">
      <c r="A92" s="11" t="s">
        <v>282</v>
      </c>
      <c r="B92" s="14" t="s">
        <v>283</v>
      </c>
      <c r="C92" s="14" t="s">
        <v>284</v>
      </c>
    </row>
    <row r="93" spans="1:3" ht="150" x14ac:dyDescent="0.25">
      <c r="A93" s="11" t="s">
        <v>285</v>
      </c>
      <c r="B93" s="14" t="s">
        <v>286</v>
      </c>
      <c r="C93" s="14" t="s">
        <v>287</v>
      </c>
    </row>
    <row r="94" spans="1:3" ht="120" x14ac:dyDescent="0.25">
      <c r="A94" s="11" t="s">
        <v>288</v>
      </c>
      <c r="B94" s="14" t="s">
        <v>289</v>
      </c>
      <c r="C94" s="14" t="s">
        <v>290</v>
      </c>
    </row>
    <row r="95" spans="1:3" ht="150" x14ac:dyDescent="0.25">
      <c r="A95" s="11" t="s">
        <v>291</v>
      </c>
      <c r="B95" s="14" t="s">
        <v>292</v>
      </c>
      <c r="C95" s="14" t="s">
        <v>293</v>
      </c>
    </row>
    <row r="96" spans="1:3" ht="105" x14ac:dyDescent="0.25">
      <c r="A96" s="11" t="s">
        <v>294</v>
      </c>
      <c r="B96" s="14" t="s">
        <v>295</v>
      </c>
      <c r="C96" s="14" t="s">
        <v>296</v>
      </c>
    </row>
    <row r="97" spans="1:3" ht="120" x14ac:dyDescent="0.25">
      <c r="A97" s="11" t="s">
        <v>297</v>
      </c>
      <c r="B97" s="14" t="s">
        <v>298</v>
      </c>
      <c r="C97" s="14" t="s">
        <v>299</v>
      </c>
    </row>
    <row r="98" spans="1:3" ht="150" x14ac:dyDescent="0.25">
      <c r="A98" s="11" t="s">
        <v>300</v>
      </c>
      <c r="B98" s="14" t="s">
        <v>301</v>
      </c>
      <c r="C98" s="14" t="s">
        <v>302</v>
      </c>
    </row>
    <row r="99" spans="1:3" ht="165" x14ac:dyDescent="0.25">
      <c r="A99" s="11" t="s">
        <v>303</v>
      </c>
      <c r="B99" s="14" t="s">
        <v>304</v>
      </c>
      <c r="C99" s="14" t="s">
        <v>305</v>
      </c>
    </row>
    <row r="100" spans="1:3" ht="150" x14ac:dyDescent="0.25">
      <c r="A100" s="11" t="s">
        <v>306</v>
      </c>
      <c r="B100" s="14" t="s">
        <v>307</v>
      </c>
      <c r="C100" s="14" t="s">
        <v>308</v>
      </c>
    </row>
    <row r="101" spans="1:3" ht="120" x14ac:dyDescent="0.25">
      <c r="A101" s="11" t="s">
        <v>309</v>
      </c>
      <c r="B101" s="14" t="s">
        <v>310</v>
      </c>
      <c r="C101" s="14" t="s">
        <v>311</v>
      </c>
    </row>
    <row r="102" spans="1:3" ht="195" x14ac:dyDescent="0.25">
      <c r="A102" s="11" t="s">
        <v>312</v>
      </c>
      <c r="B102" s="14" t="s">
        <v>313</v>
      </c>
      <c r="C102" s="14" t="s">
        <v>314</v>
      </c>
    </row>
    <row r="103" spans="1:3" ht="165" x14ac:dyDescent="0.25">
      <c r="A103" s="11" t="s">
        <v>315</v>
      </c>
      <c r="B103" s="14" t="s">
        <v>316</v>
      </c>
      <c r="C103" s="14" t="s">
        <v>317</v>
      </c>
    </row>
    <row r="104" spans="1:3" ht="165" x14ac:dyDescent="0.25">
      <c r="A104" s="11" t="s">
        <v>318</v>
      </c>
      <c r="B104" s="14" t="s">
        <v>319</v>
      </c>
      <c r="C104" s="14" t="s">
        <v>320</v>
      </c>
    </row>
    <row r="105" spans="1:3" ht="135" x14ac:dyDescent="0.25">
      <c r="A105" s="11" t="s">
        <v>321</v>
      </c>
      <c r="B105" s="14" t="s">
        <v>322</v>
      </c>
      <c r="C105" s="14" t="s">
        <v>323</v>
      </c>
    </row>
    <row r="106" spans="1:3" ht="165" x14ac:dyDescent="0.25">
      <c r="A106" s="11" t="s">
        <v>324</v>
      </c>
      <c r="B106" s="14" t="s">
        <v>325</v>
      </c>
      <c r="C106" s="14" t="s">
        <v>326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6D2C8-3B15-47F5-8F7F-4BFF110896E9}">
  <sheetPr codeName="Sheet7"/>
  <dimension ref="A1:DK53"/>
  <sheetViews>
    <sheetView tabSelected="1" workbookViewId="0">
      <pane xSplit="4" ySplit="2" topLeftCell="E3" activePane="bottomRight" state="frozen"/>
      <selection pane="topRight" activeCell="E1" sqref="E1"/>
      <selection pane="bottomLeft" activeCell="A3" sqref="A3"/>
      <selection pane="bottomRight" activeCell="AR39" sqref="AR39"/>
    </sheetView>
  </sheetViews>
  <sheetFormatPr defaultColWidth="18.140625" defaultRowHeight="15" x14ac:dyDescent="0.25"/>
  <cols>
    <col min="1" max="1" width="17.28515625" bestFit="1" customWidth="1"/>
    <col min="2" max="2" width="16" customWidth="1"/>
    <col min="3" max="3" width="14.85546875" bestFit="1" customWidth="1"/>
    <col min="4" max="4" width="61.42578125" bestFit="1" customWidth="1"/>
    <col min="5" max="5" width="37.42578125" customWidth="1"/>
    <col min="6" max="6" width="37.42578125" bestFit="1" customWidth="1"/>
    <col min="7" max="7" width="37.140625" bestFit="1" customWidth="1"/>
    <col min="8" max="9" width="37.42578125" bestFit="1" customWidth="1"/>
    <col min="10" max="14" width="37.140625" bestFit="1" customWidth="1"/>
    <col min="15" max="15" width="37.42578125" bestFit="1" customWidth="1"/>
    <col min="16" max="16" width="37.140625" bestFit="1" customWidth="1"/>
    <col min="17" max="21" width="37.42578125" bestFit="1" customWidth="1"/>
    <col min="22" max="23" width="37.140625" bestFit="1" customWidth="1"/>
    <col min="24" max="24" width="37.42578125" bestFit="1" customWidth="1"/>
    <col min="25" max="26" width="37.140625" bestFit="1" customWidth="1"/>
    <col min="27" max="27" width="37.42578125" bestFit="1" customWidth="1"/>
    <col min="28" max="28" width="37.140625" bestFit="1" customWidth="1"/>
    <col min="29" max="29" width="37.42578125" bestFit="1" customWidth="1"/>
    <col min="30" max="30" width="37.140625" bestFit="1" customWidth="1"/>
    <col min="31" max="38" width="37.42578125" bestFit="1" customWidth="1"/>
    <col min="39" max="39" width="37.140625" bestFit="1" customWidth="1"/>
    <col min="40" max="40" width="37.42578125" bestFit="1" customWidth="1"/>
    <col min="41" max="41" width="37.140625" bestFit="1" customWidth="1"/>
    <col min="42" max="42" width="37.42578125" bestFit="1" customWidth="1"/>
    <col min="43" max="43" width="37.140625" bestFit="1" customWidth="1"/>
    <col min="44" max="44" width="37.42578125" bestFit="1" customWidth="1"/>
    <col min="45" max="45" width="37.140625" bestFit="1" customWidth="1"/>
    <col min="46" max="52" width="37.42578125" bestFit="1" customWidth="1"/>
    <col min="53" max="53" width="37.140625" bestFit="1" customWidth="1"/>
    <col min="54" max="55" width="37.42578125" bestFit="1" customWidth="1"/>
    <col min="56" max="56" width="37.140625" bestFit="1" customWidth="1"/>
    <col min="57" max="58" width="37.42578125" bestFit="1" customWidth="1"/>
    <col min="59" max="59" width="37.140625" bestFit="1" customWidth="1"/>
    <col min="60" max="65" width="37.42578125" bestFit="1" customWidth="1"/>
    <col min="66" max="66" width="37.140625" bestFit="1" customWidth="1"/>
    <col min="67" max="73" width="37.42578125" bestFit="1" customWidth="1"/>
    <col min="74" max="74" width="37.140625" bestFit="1" customWidth="1"/>
    <col min="75" max="75" width="36.42578125" bestFit="1" customWidth="1"/>
    <col min="76" max="76" width="37.42578125" bestFit="1" customWidth="1"/>
    <col min="77" max="77" width="37.140625" bestFit="1" customWidth="1"/>
    <col min="78" max="81" width="37.42578125" bestFit="1" customWidth="1"/>
    <col min="82" max="82" width="37.140625" bestFit="1" customWidth="1"/>
    <col min="83" max="88" width="37.42578125" bestFit="1" customWidth="1"/>
    <col min="89" max="90" width="36.42578125" bestFit="1" customWidth="1"/>
    <col min="91" max="91" width="37.42578125" bestFit="1" customWidth="1"/>
    <col min="92" max="93" width="37.140625" bestFit="1" customWidth="1"/>
    <col min="94" max="94" width="36.42578125" bestFit="1" customWidth="1"/>
    <col min="95" max="96" width="37.140625" bestFit="1" customWidth="1"/>
    <col min="97" max="99" width="37.42578125" bestFit="1" customWidth="1"/>
    <col min="100" max="100" width="37.140625" bestFit="1" customWidth="1"/>
    <col min="101" max="101" width="37.42578125" bestFit="1" customWidth="1"/>
    <col min="102" max="102" width="37.140625" bestFit="1" customWidth="1"/>
    <col min="103" max="103" width="37.42578125" bestFit="1" customWidth="1"/>
    <col min="104" max="104" width="37.140625" bestFit="1" customWidth="1"/>
    <col min="105" max="106" width="37.42578125" bestFit="1" customWidth="1"/>
    <col min="107" max="107" width="36.42578125" bestFit="1" customWidth="1"/>
    <col min="108" max="108" width="37.140625" bestFit="1" customWidth="1"/>
    <col min="109" max="109" width="36.42578125" bestFit="1" customWidth="1"/>
    <col min="113" max="113" width="21.7109375" bestFit="1" customWidth="1"/>
    <col min="115" max="115" width="19.5703125" bestFit="1" customWidth="1"/>
  </cols>
  <sheetData>
    <row r="1" spans="1:115" x14ac:dyDescent="0.25">
      <c r="D1" s="10" t="s">
        <v>327</v>
      </c>
      <c r="E1" s="23" t="s">
        <v>12</v>
      </c>
      <c r="F1" s="23" t="s">
        <v>15</v>
      </c>
      <c r="G1" s="23" t="s">
        <v>18</v>
      </c>
      <c r="H1" s="23" t="s">
        <v>21</v>
      </c>
      <c r="I1" s="23" t="s">
        <v>24</v>
      </c>
      <c r="J1" s="23" t="s">
        <v>27</v>
      </c>
      <c r="K1" s="23" t="s">
        <v>30</v>
      </c>
      <c r="L1" s="23" t="s">
        <v>33</v>
      </c>
      <c r="M1" s="23" t="s">
        <v>36</v>
      </c>
      <c r="N1" s="23" t="s">
        <v>39</v>
      </c>
      <c r="O1" s="23" t="s">
        <v>42</v>
      </c>
      <c r="P1" s="23" t="s">
        <v>45</v>
      </c>
      <c r="Q1" s="23" t="s">
        <v>48</v>
      </c>
      <c r="R1" s="23" t="s">
        <v>51</v>
      </c>
      <c r="S1" s="23" t="s">
        <v>54</v>
      </c>
      <c r="T1" s="23" t="s">
        <v>57</v>
      </c>
      <c r="U1" s="23" t="s">
        <v>60</v>
      </c>
      <c r="V1" s="23" t="s">
        <v>63</v>
      </c>
      <c r="W1" s="23" t="s">
        <v>66</v>
      </c>
      <c r="X1" s="23" t="s">
        <v>69</v>
      </c>
      <c r="Y1" s="23" t="s">
        <v>72</v>
      </c>
      <c r="Z1" s="23" t="s">
        <v>75</v>
      </c>
      <c r="AA1" s="23" t="s">
        <v>78</v>
      </c>
      <c r="AB1" s="23" t="s">
        <v>81</v>
      </c>
      <c r="AC1" s="23" t="s">
        <v>84</v>
      </c>
      <c r="AD1" s="23" t="s">
        <v>87</v>
      </c>
      <c r="AE1" s="23" t="s">
        <v>90</v>
      </c>
      <c r="AF1" s="23" t="s">
        <v>93</v>
      </c>
      <c r="AG1" s="23" t="s">
        <v>96</v>
      </c>
      <c r="AH1" s="23" t="s">
        <v>99</v>
      </c>
      <c r="AI1" s="23" t="s">
        <v>102</v>
      </c>
      <c r="AJ1" s="23" t="s">
        <v>105</v>
      </c>
      <c r="AK1" s="23" t="s">
        <v>108</v>
      </c>
      <c r="AL1" s="23" t="s">
        <v>111</v>
      </c>
      <c r="AM1" s="23" t="s">
        <v>114</v>
      </c>
      <c r="AN1" s="23" t="s">
        <v>117</v>
      </c>
      <c r="AO1" s="23" t="s">
        <v>120</v>
      </c>
      <c r="AP1" s="23" t="s">
        <v>123</v>
      </c>
      <c r="AQ1" s="23" t="s">
        <v>126</v>
      </c>
      <c r="AR1" s="23" t="s">
        <v>129</v>
      </c>
      <c r="AS1" s="23" t="s">
        <v>132</v>
      </c>
      <c r="AT1" s="23" t="s">
        <v>135</v>
      </c>
      <c r="AU1" s="23" t="s">
        <v>138</v>
      </c>
      <c r="AV1" s="23" t="s">
        <v>141</v>
      </c>
      <c r="AW1" s="23" t="s">
        <v>144</v>
      </c>
      <c r="AX1" s="23" t="s">
        <v>147</v>
      </c>
      <c r="AY1" s="23" t="s">
        <v>150</v>
      </c>
      <c r="AZ1" s="23" t="s">
        <v>153</v>
      </c>
      <c r="BA1" s="23" t="s">
        <v>156</v>
      </c>
      <c r="BB1" s="23" t="s">
        <v>159</v>
      </c>
      <c r="BC1" s="23" t="s">
        <v>162</v>
      </c>
      <c r="BD1" s="23" t="s">
        <v>165</v>
      </c>
      <c r="BE1" s="23" t="s">
        <v>168</v>
      </c>
      <c r="BF1" s="23" t="s">
        <v>171</v>
      </c>
      <c r="BG1" s="23" t="s">
        <v>174</v>
      </c>
      <c r="BH1" s="23" t="s">
        <v>177</v>
      </c>
      <c r="BI1" s="23" t="s">
        <v>180</v>
      </c>
      <c r="BJ1" s="23" t="s">
        <v>183</v>
      </c>
      <c r="BK1" s="23" t="s">
        <v>186</v>
      </c>
      <c r="BL1" s="23" t="s">
        <v>189</v>
      </c>
      <c r="BM1" s="23" t="s">
        <v>192</v>
      </c>
      <c r="BN1" s="23" t="s">
        <v>195</v>
      </c>
      <c r="BO1" s="23" t="s">
        <v>198</v>
      </c>
      <c r="BP1" s="23" t="s">
        <v>201</v>
      </c>
      <c r="BQ1" s="23" t="s">
        <v>204</v>
      </c>
      <c r="BR1" s="23" t="s">
        <v>207</v>
      </c>
      <c r="BS1" s="23" t="s">
        <v>210</v>
      </c>
      <c r="BT1" s="23" t="s">
        <v>213</v>
      </c>
      <c r="BU1" s="23" t="s">
        <v>216</v>
      </c>
      <c r="BV1" s="23" t="s">
        <v>219</v>
      </c>
      <c r="BW1" s="23" t="s">
        <v>222</v>
      </c>
      <c r="BX1" s="23" t="s">
        <v>225</v>
      </c>
      <c r="BY1" s="23" t="s">
        <v>228</v>
      </c>
      <c r="BZ1" s="23" t="s">
        <v>231</v>
      </c>
      <c r="CA1" s="23" t="s">
        <v>234</v>
      </c>
      <c r="CB1" s="23" t="s">
        <v>237</v>
      </c>
      <c r="CC1" s="23" t="s">
        <v>240</v>
      </c>
      <c r="CD1" s="23" t="s">
        <v>243</v>
      </c>
      <c r="CE1" s="23" t="s">
        <v>246</v>
      </c>
      <c r="CF1" s="23" t="s">
        <v>249</v>
      </c>
      <c r="CG1" s="23" t="s">
        <v>252</v>
      </c>
      <c r="CH1" s="23" t="s">
        <v>255</v>
      </c>
      <c r="CI1" s="23" t="s">
        <v>258</v>
      </c>
      <c r="CJ1" s="23" t="s">
        <v>261</v>
      </c>
      <c r="CK1" s="23" t="s">
        <v>264</v>
      </c>
      <c r="CL1" s="23" t="s">
        <v>267</v>
      </c>
      <c r="CM1" s="23" t="s">
        <v>270</v>
      </c>
      <c r="CN1" s="23" t="s">
        <v>273</v>
      </c>
      <c r="CO1" s="23" t="s">
        <v>276</v>
      </c>
      <c r="CP1" s="23" t="s">
        <v>279</v>
      </c>
      <c r="CQ1" s="23" t="s">
        <v>282</v>
      </c>
      <c r="CR1" s="23" t="s">
        <v>285</v>
      </c>
      <c r="CS1" s="23" t="s">
        <v>288</v>
      </c>
      <c r="CT1" s="23" t="s">
        <v>291</v>
      </c>
      <c r="CU1" s="23" t="s">
        <v>294</v>
      </c>
      <c r="CV1" s="23" t="s">
        <v>297</v>
      </c>
      <c r="CW1" s="23" t="s">
        <v>300</v>
      </c>
      <c r="CX1" s="23" t="s">
        <v>303</v>
      </c>
      <c r="CY1" s="23" t="s">
        <v>306</v>
      </c>
      <c r="CZ1" s="23" t="s">
        <v>309</v>
      </c>
      <c r="DA1" s="23" t="s">
        <v>312</v>
      </c>
      <c r="DB1" s="23" t="s">
        <v>315</v>
      </c>
      <c r="DC1" s="23" t="s">
        <v>318</v>
      </c>
      <c r="DD1" s="23" t="s">
        <v>321</v>
      </c>
      <c r="DE1" s="23" t="s">
        <v>324</v>
      </c>
    </row>
    <row r="2" spans="1:115" s="11" customFormat="1" ht="48" x14ac:dyDescent="0.25">
      <c r="D2" s="12" t="s">
        <v>328</v>
      </c>
      <c r="E2" s="24" t="s">
        <v>13</v>
      </c>
      <c r="F2" s="24" t="s">
        <v>16</v>
      </c>
      <c r="G2" s="24" t="s">
        <v>19</v>
      </c>
      <c r="H2" s="24" t="s">
        <v>22</v>
      </c>
      <c r="I2" s="24" t="s">
        <v>25</v>
      </c>
      <c r="J2" s="24" t="s">
        <v>28</v>
      </c>
      <c r="K2" s="24" t="s">
        <v>31</v>
      </c>
      <c r="L2" s="24" t="s">
        <v>34</v>
      </c>
      <c r="M2" s="24" t="s">
        <v>37</v>
      </c>
      <c r="N2" s="24" t="s">
        <v>40</v>
      </c>
      <c r="O2" s="24" t="s">
        <v>43</v>
      </c>
      <c r="P2" s="24" t="s">
        <v>46</v>
      </c>
      <c r="Q2" s="24" t="s">
        <v>49</v>
      </c>
      <c r="R2" s="24" t="s">
        <v>52</v>
      </c>
      <c r="S2" s="24" t="s">
        <v>55</v>
      </c>
      <c r="T2" s="24" t="s">
        <v>58</v>
      </c>
      <c r="U2" s="24" t="s">
        <v>61</v>
      </c>
      <c r="V2" s="24" t="s">
        <v>64</v>
      </c>
      <c r="W2" s="24" t="s">
        <v>67</v>
      </c>
      <c r="X2" s="24" t="s">
        <v>70</v>
      </c>
      <c r="Y2" s="24" t="s">
        <v>73</v>
      </c>
      <c r="Z2" s="24" t="s">
        <v>76</v>
      </c>
      <c r="AA2" s="24" t="s">
        <v>79</v>
      </c>
      <c r="AB2" s="24" t="s">
        <v>82</v>
      </c>
      <c r="AC2" s="24" t="s">
        <v>85</v>
      </c>
      <c r="AD2" s="24" t="s">
        <v>88</v>
      </c>
      <c r="AE2" s="24" t="s">
        <v>91</v>
      </c>
      <c r="AF2" s="24" t="s">
        <v>94</v>
      </c>
      <c r="AG2" s="24" t="s">
        <v>97</v>
      </c>
      <c r="AH2" s="24" t="s">
        <v>100</v>
      </c>
      <c r="AI2" s="24" t="s">
        <v>103</v>
      </c>
      <c r="AJ2" s="24" t="s">
        <v>106</v>
      </c>
      <c r="AK2" s="24" t="s">
        <v>109</v>
      </c>
      <c r="AL2" s="24" t="s">
        <v>112</v>
      </c>
      <c r="AM2" s="24" t="s">
        <v>115</v>
      </c>
      <c r="AN2" s="24" t="s">
        <v>118</v>
      </c>
      <c r="AO2" s="24" t="s">
        <v>121</v>
      </c>
      <c r="AP2" s="24" t="s">
        <v>124</v>
      </c>
      <c r="AQ2" s="24" t="s">
        <v>127</v>
      </c>
      <c r="AR2" s="24" t="s">
        <v>130</v>
      </c>
      <c r="AS2" s="24" t="s">
        <v>133</v>
      </c>
      <c r="AT2" s="24" t="s">
        <v>136</v>
      </c>
      <c r="AU2" s="24" t="s">
        <v>139</v>
      </c>
      <c r="AV2" s="24" t="s">
        <v>142</v>
      </c>
      <c r="AW2" s="24" t="s">
        <v>145</v>
      </c>
      <c r="AX2" s="24" t="s">
        <v>148</v>
      </c>
      <c r="AY2" s="24" t="s">
        <v>151</v>
      </c>
      <c r="AZ2" s="24" t="s">
        <v>154</v>
      </c>
      <c r="BA2" s="24" t="s">
        <v>157</v>
      </c>
      <c r="BB2" s="24" t="s">
        <v>160</v>
      </c>
      <c r="BC2" s="21" t="s">
        <v>163</v>
      </c>
      <c r="BD2" s="24" t="s">
        <v>166</v>
      </c>
      <c r="BE2" s="24" t="s">
        <v>169</v>
      </c>
      <c r="BF2" s="24" t="s">
        <v>172</v>
      </c>
      <c r="BG2" s="24" t="s">
        <v>175</v>
      </c>
      <c r="BH2" s="24" t="s">
        <v>178</v>
      </c>
      <c r="BI2" s="24" t="s">
        <v>181</v>
      </c>
      <c r="BJ2" s="24" t="s">
        <v>184</v>
      </c>
      <c r="BK2" s="24" t="s">
        <v>187</v>
      </c>
      <c r="BL2" s="24" t="s">
        <v>190</v>
      </c>
      <c r="BM2" s="24" t="s">
        <v>193</v>
      </c>
      <c r="BN2" s="24" t="s">
        <v>196</v>
      </c>
      <c r="BO2" s="24" t="s">
        <v>199</v>
      </c>
      <c r="BP2" s="24" t="s">
        <v>202</v>
      </c>
      <c r="BQ2" s="24" t="s">
        <v>205</v>
      </c>
      <c r="BR2" s="24" t="s">
        <v>208</v>
      </c>
      <c r="BS2" s="24" t="s">
        <v>211</v>
      </c>
      <c r="BT2" s="24" t="s">
        <v>214</v>
      </c>
      <c r="BU2" s="24" t="s">
        <v>217</v>
      </c>
      <c r="BV2" s="24" t="s">
        <v>220</v>
      </c>
      <c r="BW2" s="24" t="s">
        <v>223</v>
      </c>
      <c r="BX2" s="24" t="s">
        <v>226</v>
      </c>
      <c r="BY2" s="24" t="s">
        <v>229</v>
      </c>
      <c r="BZ2" s="24" t="s">
        <v>232</v>
      </c>
      <c r="CA2" s="24" t="s">
        <v>235</v>
      </c>
      <c r="CB2" s="24" t="s">
        <v>238</v>
      </c>
      <c r="CC2" s="24" t="s">
        <v>241</v>
      </c>
      <c r="CD2" s="24" t="s">
        <v>244</v>
      </c>
      <c r="CE2" s="24" t="s">
        <v>247</v>
      </c>
      <c r="CF2" s="24" t="s">
        <v>250</v>
      </c>
      <c r="CG2" s="24" t="s">
        <v>253</v>
      </c>
      <c r="CH2" s="24" t="s">
        <v>256</v>
      </c>
      <c r="CI2" s="24" t="s">
        <v>259</v>
      </c>
      <c r="CJ2" s="24" t="s">
        <v>262</v>
      </c>
      <c r="CK2" s="24" t="s">
        <v>265</v>
      </c>
      <c r="CL2" s="24" t="s">
        <v>268</v>
      </c>
      <c r="CM2" s="24" t="s">
        <v>271</v>
      </c>
      <c r="CN2" s="24" t="s">
        <v>274</v>
      </c>
      <c r="CO2" s="24" t="s">
        <v>277</v>
      </c>
      <c r="CP2" s="24" t="s">
        <v>280</v>
      </c>
      <c r="CQ2" s="24" t="s">
        <v>283</v>
      </c>
      <c r="CR2" s="24" t="s">
        <v>286</v>
      </c>
      <c r="CS2" s="24" t="s">
        <v>289</v>
      </c>
      <c r="CT2" s="24" t="s">
        <v>292</v>
      </c>
      <c r="CU2" s="24" t="s">
        <v>295</v>
      </c>
      <c r="CV2" s="24" t="s">
        <v>298</v>
      </c>
      <c r="CW2" s="24" t="s">
        <v>301</v>
      </c>
      <c r="CX2" s="24" t="s">
        <v>304</v>
      </c>
      <c r="CY2" s="24" t="s">
        <v>307</v>
      </c>
      <c r="CZ2" s="24" t="s">
        <v>310</v>
      </c>
      <c r="DA2" s="24" t="s">
        <v>313</v>
      </c>
      <c r="DB2" s="24" t="s">
        <v>316</v>
      </c>
      <c r="DC2" s="24" t="s">
        <v>319</v>
      </c>
      <c r="DD2" s="24" t="s">
        <v>322</v>
      </c>
      <c r="DE2" s="24" t="s">
        <v>325</v>
      </c>
    </row>
    <row r="3" spans="1:115" x14ac:dyDescent="0.25">
      <c r="D3" s="10" t="s">
        <v>329</v>
      </c>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row>
    <row r="4" spans="1:115" x14ac:dyDescent="0.25">
      <c r="A4" s="9" t="s">
        <v>330</v>
      </c>
      <c r="B4" s="8"/>
      <c r="C4" s="8" t="s">
        <v>331</v>
      </c>
      <c r="D4" s="7" t="s">
        <v>332</v>
      </c>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K4" s="16" t="s">
        <v>333</v>
      </c>
    </row>
    <row r="5" spans="1:115" ht="48" x14ac:dyDescent="0.25">
      <c r="A5" s="27" t="s">
        <v>334</v>
      </c>
      <c r="B5" s="28" t="s">
        <v>335</v>
      </c>
      <c r="C5" s="3">
        <v>1</v>
      </c>
      <c r="D5" s="6" t="s">
        <v>336</v>
      </c>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I5" t="s">
        <v>334</v>
      </c>
      <c r="DK5" s="15" t="str">
        <f t="shared" ref="DK5:DK52" si="0">IF($A5="",DK4,IF($A5="DER Comunicationand&amp; Control (C&amp;C)","DER C&amp;C",$A5))</f>
        <v>IBR</v>
      </c>
    </row>
    <row r="6" spans="1:115" ht="36" x14ac:dyDescent="0.25">
      <c r="A6" s="27"/>
      <c r="B6" s="26"/>
      <c r="C6" s="3">
        <v>2</v>
      </c>
      <c r="D6" s="2" t="s">
        <v>337</v>
      </c>
      <c r="E6" s="1"/>
      <c r="F6" s="1"/>
      <c r="G6" s="1"/>
      <c r="H6" s="1"/>
      <c r="I6" s="1"/>
      <c r="J6" s="1">
        <v>3</v>
      </c>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v>2</v>
      </c>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v>3</v>
      </c>
      <c r="CS6" s="1"/>
      <c r="CT6" s="1"/>
      <c r="CU6" s="1"/>
      <c r="CV6" s="1"/>
      <c r="CW6" s="1"/>
      <c r="CX6" s="1"/>
      <c r="CY6" s="1"/>
      <c r="CZ6" s="1"/>
      <c r="DA6" s="1"/>
      <c r="DB6" s="1"/>
      <c r="DC6" s="1"/>
      <c r="DD6" s="1"/>
      <c r="DE6" s="1"/>
      <c r="DI6" t="s">
        <v>338</v>
      </c>
      <c r="DK6" s="15" t="str">
        <f t="shared" si="0"/>
        <v>IBR</v>
      </c>
    </row>
    <row r="7" spans="1:115" ht="36" x14ac:dyDescent="0.25">
      <c r="A7" s="27"/>
      <c r="B7" s="26"/>
      <c r="C7" s="5">
        <v>3</v>
      </c>
      <c r="D7" s="2" t="s">
        <v>339</v>
      </c>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I7" t="s">
        <v>340</v>
      </c>
      <c r="DK7" s="15" t="str">
        <f t="shared" si="0"/>
        <v>IBR</v>
      </c>
    </row>
    <row r="8" spans="1:115" ht="48" x14ac:dyDescent="0.25">
      <c r="A8" s="27"/>
      <c r="B8" s="26" t="s">
        <v>341</v>
      </c>
      <c r="C8" s="5">
        <v>4</v>
      </c>
      <c r="D8" s="2" t="s">
        <v>342</v>
      </c>
      <c r="E8" s="1"/>
      <c r="F8" s="1"/>
      <c r="G8" s="1"/>
      <c r="H8" s="1"/>
      <c r="I8" s="1"/>
      <c r="J8" s="1"/>
      <c r="K8" s="1"/>
      <c r="L8" s="1"/>
      <c r="M8" s="1"/>
      <c r="N8" s="1"/>
      <c r="O8" s="1"/>
      <c r="P8" s="1"/>
      <c r="Q8" s="1"/>
      <c r="R8" s="1"/>
      <c r="S8" s="1"/>
      <c r="T8" s="1"/>
      <c r="U8" s="1"/>
      <c r="V8" s="1"/>
      <c r="W8" s="1"/>
      <c r="X8" s="1"/>
      <c r="Y8" s="1">
        <v>4</v>
      </c>
      <c r="Z8" s="1"/>
      <c r="AA8" s="1"/>
      <c r="AB8" s="1"/>
      <c r="AC8" s="1"/>
      <c r="AD8" s="1"/>
      <c r="AE8" s="1"/>
      <c r="AF8" s="1"/>
      <c r="AG8" s="1"/>
      <c r="AH8" s="1"/>
      <c r="AI8" s="1"/>
      <c r="AJ8" s="1"/>
      <c r="AK8" s="1"/>
      <c r="AL8" s="1"/>
      <c r="AM8" s="1"/>
      <c r="AN8" s="1">
        <v>3</v>
      </c>
      <c r="AO8" s="1">
        <v>4</v>
      </c>
      <c r="AP8" s="1"/>
      <c r="AQ8" s="1"/>
      <c r="AR8" s="1"/>
      <c r="AS8" s="1">
        <v>3</v>
      </c>
      <c r="AT8" s="1"/>
      <c r="AU8" s="1"/>
      <c r="AV8" s="1"/>
      <c r="AW8" s="1">
        <v>4</v>
      </c>
      <c r="AX8" s="1">
        <v>4</v>
      </c>
      <c r="AY8" s="1">
        <v>4</v>
      </c>
      <c r="AZ8" s="1"/>
      <c r="BA8" s="1"/>
      <c r="BB8" s="1"/>
      <c r="BC8" s="1"/>
      <c r="BD8" s="1"/>
      <c r="BE8" s="1"/>
      <c r="BF8" s="1"/>
      <c r="BG8" s="1"/>
      <c r="BH8" s="1"/>
      <c r="BI8" s="1"/>
      <c r="BJ8" s="1"/>
      <c r="BK8" s="1"/>
      <c r="BL8" s="1">
        <v>3</v>
      </c>
      <c r="BM8" s="1"/>
      <c r="BN8" s="1"/>
      <c r="BO8" s="1"/>
      <c r="BP8" s="1">
        <v>5</v>
      </c>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I8" t="s">
        <v>343</v>
      </c>
      <c r="DK8" s="15" t="str">
        <f t="shared" si="0"/>
        <v>IBR</v>
      </c>
    </row>
    <row r="9" spans="1:115" ht="36" x14ac:dyDescent="0.25">
      <c r="A9" s="27"/>
      <c r="B9" s="26"/>
      <c r="C9" s="5">
        <f t="shared" ref="C9:C52" si="1">C8+1</f>
        <v>5</v>
      </c>
      <c r="D9" s="2" t="s">
        <v>344</v>
      </c>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v>2</v>
      </c>
      <c r="AT9" s="1"/>
      <c r="AU9" s="1"/>
      <c r="AV9" s="1"/>
      <c r="AW9" s="1">
        <v>3</v>
      </c>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I9" t="s">
        <v>345</v>
      </c>
      <c r="DK9" s="15" t="str">
        <f t="shared" si="0"/>
        <v>IBR</v>
      </c>
    </row>
    <row r="10" spans="1:115" ht="24" x14ac:dyDescent="0.25">
      <c r="A10" s="27"/>
      <c r="B10" s="26"/>
      <c r="C10" s="5">
        <f t="shared" si="1"/>
        <v>6</v>
      </c>
      <c r="D10" s="2" t="s">
        <v>346</v>
      </c>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v>5</v>
      </c>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I10" t="s">
        <v>347</v>
      </c>
      <c r="DK10" s="15" t="str">
        <f t="shared" si="0"/>
        <v>IBR</v>
      </c>
    </row>
    <row r="11" spans="1:115" ht="51.6" customHeight="1" x14ac:dyDescent="0.25">
      <c r="A11" s="29" t="s">
        <v>338</v>
      </c>
      <c r="B11" s="4" t="s">
        <v>348</v>
      </c>
      <c r="C11" s="3">
        <f t="shared" si="1"/>
        <v>7</v>
      </c>
      <c r="D11" s="2" t="s">
        <v>349</v>
      </c>
      <c r="E11" s="1"/>
      <c r="F11" s="1"/>
      <c r="G11" s="1"/>
      <c r="H11" s="1"/>
      <c r="I11" s="1"/>
      <c r="J11" s="1"/>
      <c r="K11" s="1"/>
      <c r="L11" s="1"/>
      <c r="M11" s="1"/>
      <c r="N11" s="1"/>
      <c r="O11" s="1"/>
      <c r="P11" s="1"/>
      <c r="Q11" s="1"/>
      <c r="R11" s="1"/>
      <c r="S11" s="1"/>
      <c r="T11" s="1"/>
      <c r="U11" s="1">
        <v>4</v>
      </c>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v>2</v>
      </c>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v>4</v>
      </c>
      <c r="CH11" s="1"/>
      <c r="CI11" s="1"/>
      <c r="CJ11" s="1"/>
      <c r="CK11" s="1"/>
      <c r="CL11" s="1"/>
      <c r="CM11" s="1"/>
      <c r="CN11" s="1"/>
      <c r="CO11" s="1"/>
      <c r="CP11" s="1"/>
      <c r="CQ11" s="1"/>
      <c r="CR11" s="1"/>
      <c r="CS11" s="1"/>
      <c r="CT11" s="1"/>
      <c r="CU11" s="1"/>
      <c r="CV11" s="1"/>
      <c r="CW11" s="1"/>
      <c r="CX11" s="1"/>
      <c r="CY11" s="1"/>
      <c r="CZ11" s="1"/>
      <c r="DA11" s="1"/>
      <c r="DB11" s="1"/>
      <c r="DC11" s="1"/>
      <c r="DD11" s="1"/>
      <c r="DE11" s="1"/>
      <c r="DI11" t="s">
        <v>350</v>
      </c>
      <c r="DK11" s="15" t="str">
        <f t="shared" si="0"/>
        <v>Stability</v>
      </c>
    </row>
    <row r="12" spans="1:115" ht="36" x14ac:dyDescent="0.25">
      <c r="A12" s="29"/>
      <c r="B12" s="26" t="s">
        <v>351</v>
      </c>
      <c r="C12" s="3">
        <f t="shared" si="1"/>
        <v>8</v>
      </c>
      <c r="D12" s="2" t="s">
        <v>352</v>
      </c>
      <c r="E12" s="1"/>
      <c r="F12" s="1"/>
      <c r="G12" s="1"/>
      <c r="H12" s="1"/>
      <c r="I12" s="1"/>
      <c r="J12" s="1"/>
      <c r="K12" s="1"/>
      <c r="L12" s="1"/>
      <c r="M12" s="1"/>
      <c r="N12" s="1"/>
      <c r="O12" s="1"/>
      <c r="P12" s="1"/>
      <c r="Q12" s="1"/>
      <c r="R12" s="1"/>
      <c r="S12" s="1"/>
      <c r="T12" s="1">
        <v>5</v>
      </c>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v>3</v>
      </c>
      <c r="CE12" s="1"/>
      <c r="CF12" s="1"/>
      <c r="CG12" s="1">
        <v>1</v>
      </c>
      <c r="CH12" s="1"/>
      <c r="CI12" s="1"/>
      <c r="CJ12" s="1"/>
      <c r="CK12" s="1"/>
      <c r="CL12" s="1"/>
      <c r="CM12" s="1"/>
      <c r="CN12" s="1"/>
      <c r="CO12" s="1"/>
      <c r="CP12" s="1"/>
      <c r="CQ12" s="1"/>
      <c r="CR12" s="1"/>
      <c r="CS12" s="1"/>
      <c r="CT12" s="1"/>
      <c r="CU12" s="1"/>
      <c r="CV12" s="1"/>
      <c r="CW12" s="1"/>
      <c r="CX12" s="1"/>
      <c r="CY12" s="1"/>
      <c r="CZ12" s="1"/>
      <c r="DA12" s="1"/>
      <c r="DB12" s="1"/>
      <c r="DC12" s="1"/>
      <c r="DD12" s="1"/>
      <c r="DE12" s="1"/>
      <c r="DI12" t="s">
        <v>353</v>
      </c>
      <c r="DK12" s="15" t="str">
        <f t="shared" si="0"/>
        <v>Stability</v>
      </c>
    </row>
    <row r="13" spans="1:115" ht="24" x14ac:dyDescent="0.25">
      <c r="A13" s="29"/>
      <c r="B13" s="26"/>
      <c r="C13" s="3">
        <f t="shared" si="1"/>
        <v>9</v>
      </c>
      <c r="D13" s="2" t="s">
        <v>354</v>
      </c>
      <c r="E13" s="1"/>
      <c r="F13" s="1"/>
      <c r="G13" s="1">
        <v>5</v>
      </c>
      <c r="H13" s="1">
        <v>5</v>
      </c>
      <c r="I13" s="1"/>
      <c r="J13" s="1"/>
      <c r="K13" s="1"/>
      <c r="L13" s="1"/>
      <c r="M13" s="1"/>
      <c r="N13" s="1">
        <v>4</v>
      </c>
      <c r="O13" s="1"/>
      <c r="P13" s="1"/>
      <c r="Q13" s="1"/>
      <c r="R13" s="1"/>
      <c r="S13" s="1"/>
      <c r="T13" s="1">
        <v>5</v>
      </c>
      <c r="U13" s="1"/>
      <c r="V13" s="1"/>
      <c r="W13" s="1"/>
      <c r="X13" s="1"/>
      <c r="Y13" s="1"/>
      <c r="Z13" s="1"/>
      <c r="AA13" s="1"/>
      <c r="AB13" s="1"/>
      <c r="AC13" s="1"/>
      <c r="AD13" s="1"/>
      <c r="AE13" s="1"/>
      <c r="AF13" s="1"/>
      <c r="AG13" s="1"/>
      <c r="AH13" s="1"/>
      <c r="AI13" s="1"/>
      <c r="AJ13" s="1"/>
      <c r="AK13" s="1"/>
      <c r="AL13" s="1"/>
      <c r="AM13" s="1">
        <v>1</v>
      </c>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v>4</v>
      </c>
      <c r="CE13" s="1"/>
      <c r="CF13" s="1"/>
      <c r="CG13" s="1">
        <v>4</v>
      </c>
      <c r="CH13" s="1"/>
      <c r="CI13" s="1"/>
      <c r="CJ13" s="1"/>
      <c r="CK13" s="1"/>
      <c r="CL13" s="1"/>
      <c r="CM13" s="1">
        <v>4</v>
      </c>
      <c r="CN13" s="1"/>
      <c r="CO13" s="1">
        <v>3</v>
      </c>
      <c r="CP13" s="1">
        <v>3</v>
      </c>
      <c r="CQ13" s="1"/>
      <c r="CR13" s="1"/>
      <c r="CS13" s="1"/>
      <c r="CT13" s="1"/>
      <c r="CU13" s="1">
        <v>2</v>
      </c>
      <c r="CV13" s="1"/>
      <c r="CW13" s="1"/>
      <c r="CX13" s="1"/>
      <c r="CY13" s="1">
        <v>5</v>
      </c>
      <c r="CZ13" s="1"/>
      <c r="DA13" s="1"/>
      <c r="DB13" s="1"/>
      <c r="DC13" s="1">
        <v>4</v>
      </c>
      <c r="DD13" s="1"/>
      <c r="DE13" s="1"/>
      <c r="DK13" s="15" t="str">
        <f t="shared" si="0"/>
        <v>Stability</v>
      </c>
    </row>
    <row r="14" spans="1:115" ht="36" x14ac:dyDescent="0.25">
      <c r="A14" s="29"/>
      <c r="B14" s="26"/>
      <c r="C14" s="3">
        <f t="shared" si="1"/>
        <v>10</v>
      </c>
      <c r="D14" s="2" t="s">
        <v>355</v>
      </c>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K14" s="15" t="str">
        <f t="shared" si="0"/>
        <v>Stability</v>
      </c>
    </row>
    <row r="15" spans="1:115" ht="36" x14ac:dyDescent="0.25">
      <c r="A15" s="29"/>
      <c r="B15" s="26"/>
      <c r="C15" s="3">
        <f t="shared" si="1"/>
        <v>11</v>
      </c>
      <c r="D15" s="2" t="s">
        <v>356</v>
      </c>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K15" s="15" t="str">
        <f t="shared" si="0"/>
        <v>Stability</v>
      </c>
    </row>
    <row r="16" spans="1:115" ht="36" x14ac:dyDescent="0.25">
      <c r="A16" s="25" t="s">
        <v>340</v>
      </c>
      <c r="B16" s="26" t="s">
        <v>357</v>
      </c>
      <c r="C16" s="3">
        <f t="shared" si="1"/>
        <v>12</v>
      </c>
      <c r="D16" s="2" t="s">
        <v>358</v>
      </c>
      <c r="E16" s="1">
        <v>4</v>
      </c>
      <c r="F16" s="1"/>
      <c r="G16" s="1"/>
      <c r="H16" s="1"/>
      <c r="I16" s="1"/>
      <c r="J16" s="1"/>
      <c r="K16" s="1"/>
      <c r="L16" s="1"/>
      <c r="M16" s="1"/>
      <c r="N16" s="1"/>
      <c r="O16" s="1"/>
      <c r="P16" s="1"/>
      <c r="Q16" s="1"/>
      <c r="R16" s="1"/>
      <c r="S16" s="1"/>
      <c r="T16" s="1"/>
      <c r="U16" s="1"/>
      <c r="V16" s="1"/>
      <c r="W16" s="1"/>
      <c r="X16" s="1"/>
      <c r="Y16" s="1"/>
      <c r="Z16" s="1"/>
      <c r="AA16" s="1"/>
      <c r="AB16" s="1"/>
      <c r="AC16" s="1"/>
      <c r="AD16" s="1"/>
      <c r="AE16" s="1">
        <v>1</v>
      </c>
      <c r="AF16" s="1">
        <v>1</v>
      </c>
      <c r="AG16" s="1"/>
      <c r="AH16" s="1">
        <v>1</v>
      </c>
      <c r="AI16" s="1"/>
      <c r="AJ16" s="1"/>
      <c r="AK16" s="1"/>
      <c r="AL16" s="1"/>
      <c r="AM16" s="1"/>
      <c r="AN16" s="1"/>
      <c r="AO16" s="1"/>
      <c r="AP16" s="1"/>
      <c r="AQ16" s="1"/>
      <c r="AR16" s="1"/>
      <c r="AS16" s="1"/>
      <c r="AT16" s="1"/>
      <c r="AU16" s="1"/>
      <c r="AV16" s="1"/>
      <c r="AW16" s="1"/>
      <c r="AX16" s="1"/>
      <c r="AY16" s="1"/>
      <c r="AZ16" s="1">
        <v>5</v>
      </c>
      <c r="BA16" s="1"/>
      <c r="BB16" s="1"/>
      <c r="BC16" s="1"/>
      <c r="BD16" s="1"/>
      <c r="BE16" s="1">
        <v>4</v>
      </c>
      <c r="BF16" s="1">
        <v>4</v>
      </c>
      <c r="BG16" s="1">
        <v>4</v>
      </c>
      <c r="BH16" s="1">
        <v>3</v>
      </c>
      <c r="BI16" s="1"/>
      <c r="BJ16" s="1"/>
      <c r="BK16" s="1"/>
      <c r="BL16" s="1"/>
      <c r="BM16" s="1">
        <v>4</v>
      </c>
      <c r="BN16" s="1"/>
      <c r="BO16" s="1"/>
      <c r="BP16" s="1"/>
      <c r="BQ16" s="1"/>
      <c r="BR16" s="1"/>
      <c r="BS16" s="1"/>
      <c r="BT16" s="1"/>
      <c r="BU16" s="1">
        <v>3</v>
      </c>
      <c r="BV16" s="1"/>
      <c r="BW16" s="1">
        <v>5</v>
      </c>
      <c r="BX16" s="1"/>
      <c r="BY16" s="1">
        <v>4</v>
      </c>
      <c r="BZ16" s="1">
        <v>5</v>
      </c>
      <c r="CA16" s="1"/>
      <c r="CB16" s="1"/>
      <c r="CC16" s="1"/>
      <c r="CD16" s="1"/>
      <c r="CE16" s="1"/>
      <c r="CF16" s="1"/>
      <c r="CG16" s="1"/>
      <c r="CH16" s="1"/>
      <c r="CI16" s="1"/>
      <c r="CJ16" s="1"/>
      <c r="CK16" s="1"/>
      <c r="CL16" s="1"/>
      <c r="CM16" s="1"/>
      <c r="CN16" s="1"/>
      <c r="CO16" s="1"/>
      <c r="CP16" s="1"/>
      <c r="CQ16" s="1"/>
      <c r="CR16" s="1"/>
      <c r="CS16" s="1"/>
      <c r="CT16" s="1"/>
      <c r="CU16" s="1">
        <v>4</v>
      </c>
      <c r="CV16" s="1"/>
      <c r="CW16" s="1"/>
      <c r="CX16" s="1"/>
      <c r="CY16" s="1"/>
      <c r="CZ16" s="1"/>
      <c r="DA16" s="1"/>
      <c r="DB16" s="1"/>
      <c r="DC16" s="1"/>
      <c r="DD16" s="1"/>
      <c r="DE16" s="1"/>
      <c r="DK16" s="15" t="str">
        <f t="shared" si="0"/>
        <v>DER System Services</v>
      </c>
    </row>
    <row r="17" spans="1:115" ht="36" x14ac:dyDescent="0.25">
      <c r="A17" s="25"/>
      <c r="B17" s="26"/>
      <c r="C17" s="3">
        <f t="shared" si="1"/>
        <v>13</v>
      </c>
      <c r="D17" s="2" t="s">
        <v>359</v>
      </c>
      <c r="E17" s="1">
        <v>3</v>
      </c>
      <c r="F17" s="1">
        <v>3</v>
      </c>
      <c r="G17" s="1"/>
      <c r="H17" s="1"/>
      <c r="I17" s="1"/>
      <c r="J17" s="1"/>
      <c r="K17" s="1"/>
      <c r="L17" s="1"/>
      <c r="M17" s="1"/>
      <c r="N17" s="1"/>
      <c r="O17" s="1"/>
      <c r="P17" s="1"/>
      <c r="Q17" s="1"/>
      <c r="R17" s="1"/>
      <c r="S17" s="1"/>
      <c r="T17" s="1"/>
      <c r="U17" s="1"/>
      <c r="V17" s="1"/>
      <c r="W17" s="1"/>
      <c r="X17" s="1"/>
      <c r="Y17" s="1"/>
      <c r="Z17" s="1"/>
      <c r="AA17" s="1"/>
      <c r="AB17" s="1"/>
      <c r="AC17" s="1"/>
      <c r="AD17" s="1"/>
      <c r="AE17" s="1">
        <v>2</v>
      </c>
      <c r="AF17" s="1">
        <v>2</v>
      </c>
      <c r="AG17" s="1"/>
      <c r="AH17" s="1">
        <v>2</v>
      </c>
      <c r="AI17" s="1"/>
      <c r="AJ17" s="1"/>
      <c r="AK17" s="1"/>
      <c r="AL17" s="1"/>
      <c r="AM17" s="1"/>
      <c r="AN17" s="1"/>
      <c r="AO17" s="1"/>
      <c r="AP17" s="1"/>
      <c r="AQ17" s="1"/>
      <c r="AR17" s="1"/>
      <c r="AS17" s="1"/>
      <c r="AT17" s="1"/>
      <c r="AU17" s="1"/>
      <c r="AV17" s="1"/>
      <c r="AW17" s="1"/>
      <c r="AX17" s="1"/>
      <c r="AY17" s="1"/>
      <c r="AZ17" s="1"/>
      <c r="BA17" s="1"/>
      <c r="BB17" s="1"/>
      <c r="BC17" s="1"/>
      <c r="BD17" s="1"/>
      <c r="BE17" s="1">
        <v>2</v>
      </c>
      <c r="BF17" s="1"/>
      <c r="BG17" s="1"/>
      <c r="BH17" s="1">
        <v>3</v>
      </c>
      <c r="BI17" s="1"/>
      <c r="BJ17" s="1"/>
      <c r="BK17" s="1"/>
      <c r="BL17" s="1"/>
      <c r="BM17" s="1">
        <v>3</v>
      </c>
      <c r="BN17" s="1"/>
      <c r="BO17" s="1"/>
      <c r="BP17" s="1"/>
      <c r="BQ17" s="1"/>
      <c r="BR17" s="1"/>
      <c r="BS17" s="1"/>
      <c r="BT17" s="1"/>
      <c r="BU17" s="1"/>
      <c r="BV17" s="1"/>
      <c r="BW17" s="1">
        <v>3</v>
      </c>
      <c r="BX17" s="1">
        <v>4</v>
      </c>
      <c r="BY17" s="1">
        <v>3</v>
      </c>
      <c r="BZ17" s="1">
        <v>3</v>
      </c>
      <c r="CA17" s="1"/>
      <c r="CB17" s="1"/>
      <c r="CC17" s="1"/>
      <c r="CD17" s="1"/>
      <c r="CE17" s="1">
        <v>4</v>
      </c>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K17" s="15" t="str">
        <f t="shared" si="0"/>
        <v>DER System Services</v>
      </c>
    </row>
    <row r="18" spans="1:115" ht="24" x14ac:dyDescent="0.25">
      <c r="A18" s="25"/>
      <c r="B18" s="26"/>
      <c r="C18" s="3">
        <f t="shared" si="1"/>
        <v>14</v>
      </c>
      <c r="D18" s="2" t="s">
        <v>360</v>
      </c>
      <c r="E18" s="1"/>
      <c r="F18" s="1">
        <v>3</v>
      </c>
      <c r="G18" s="1"/>
      <c r="H18" s="1"/>
      <c r="I18" s="1"/>
      <c r="J18" s="1"/>
      <c r="K18" s="1"/>
      <c r="L18" s="1"/>
      <c r="M18" s="1"/>
      <c r="N18" s="1"/>
      <c r="O18" s="1"/>
      <c r="P18" s="1"/>
      <c r="Q18" s="1"/>
      <c r="R18" s="1"/>
      <c r="S18" s="1"/>
      <c r="T18" s="1"/>
      <c r="U18" s="1"/>
      <c r="V18" s="1"/>
      <c r="W18" s="1"/>
      <c r="X18" s="1"/>
      <c r="Y18" s="1"/>
      <c r="Z18" s="1"/>
      <c r="AA18" s="1"/>
      <c r="AB18" s="1"/>
      <c r="AC18" s="1"/>
      <c r="AD18" s="1"/>
      <c r="AE18" s="1">
        <v>2</v>
      </c>
      <c r="AF18" s="1">
        <v>2</v>
      </c>
      <c r="AG18" s="1"/>
      <c r="AH18" s="1">
        <v>1</v>
      </c>
      <c r="AI18" s="1"/>
      <c r="AJ18" s="1"/>
      <c r="AK18" s="1"/>
      <c r="AL18" s="1"/>
      <c r="AM18" s="1"/>
      <c r="AN18" s="1"/>
      <c r="AO18" s="1"/>
      <c r="AP18" s="1"/>
      <c r="AQ18" s="1"/>
      <c r="AR18" s="1"/>
      <c r="AS18" s="1"/>
      <c r="AT18" s="1"/>
      <c r="AU18" s="1"/>
      <c r="AV18" s="1"/>
      <c r="AW18" s="1"/>
      <c r="AX18" s="1"/>
      <c r="AY18" s="1"/>
      <c r="AZ18" s="1"/>
      <c r="BA18" s="1"/>
      <c r="BB18" s="1"/>
      <c r="BC18" s="1"/>
      <c r="BD18" s="1"/>
      <c r="BE18" s="1"/>
      <c r="BF18" s="1">
        <v>2</v>
      </c>
      <c r="BG18" s="1"/>
      <c r="BH18" s="1">
        <v>2</v>
      </c>
      <c r="BI18" s="1"/>
      <c r="BJ18" s="1"/>
      <c r="BK18" s="1"/>
      <c r="BL18" s="1"/>
      <c r="BM18" s="1"/>
      <c r="BN18" s="1"/>
      <c r="BO18" s="1"/>
      <c r="BP18" s="1"/>
      <c r="BQ18" s="1"/>
      <c r="BR18" s="1"/>
      <c r="BS18" s="1"/>
      <c r="BT18" s="1"/>
      <c r="BU18" s="1"/>
      <c r="BV18" s="1"/>
      <c r="BW18" s="1">
        <v>4</v>
      </c>
      <c r="BX18" s="1"/>
      <c r="BY18" s="1">
        <v>2</v>
      </c>
      <c r="BZ18" s="1"/>
      <c r="CA18" s="1"/>
      <c r="CB18" s="1"/>
      <c r="CC18" s="1"/>
      <c r="CD18" s="1"/>
      <c r="CE18" s="1">
        <v>4</v>
      </c>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K18" s="15" t="str">
        <f t="shared" si="0"/>
        <v>DER System Services</v>
      </c>
    </row>
    <row r="19" spans="1:115" ht="36" x14ac:dyDescent="0.25">
      <c r="A19" s="25" t="s">
        <v>361</v>
      </c>
      <c r="B19" s="26" t="s">
        <v>362</v>
      </c>
      <c r="C19" s="3">
        <f t="shared" si="1"/>
        <v>15</v>
      </c>
      <c r="D19" s="2" t="s">
        <v>363</v>
      </c>
      <c r="E19" s="1"/>
      <c r="F19" s="1">
        <v>4</v>
      </c>
      <c r="G19" s="1"/>
      <c r="H19" s="1"/>
      <c r="I19" s="1"/>
      <c r="J19" s="1"/>
      <c r="K19" s="1"/>
      <c r="L19" s="1"/>
      <c r="M19" s="1"/>
      <c r="N19" s="1"/>
      <c r="O19" s="1"/>
      <c r="P19" s="1"/>
      <c r="Q19" s="1"/>
      <c r="R19" s="1"/>
      <c r="S19" s="1"/>
      <c r="T19" s="1"/>
      <c r="U19" s="1"/>
      <c r="V19" s="1"/>
      <c r="W19" s="1"/>
      <c r="X19" s="1"/>
      <c r="Y19" s="1"/>
      <c r="Z19" s="1">
        <v>2</v>
      </c>
      <c r="AA19" s="1"/>
      <c r="AB19" s="1"/>
      <c r="AC19" s="1"/>
      <c r="AD19" s="1"/>
      <c r="AE19" s="1"/>
      <c r="AF19" s="1"/>
      <c r="AG19" s="1"/>
      <c r="AH19" s="1"/>
      <c r="AI19" s="1"/>
      <c r="AJ19" s="1"/>
      <c r="AK19" s="1"/>
      <c r="AL19" s="1">
        <v>1</v>
      </c>
      <c r="AM19" s="1"/>
      <c r="AN19" s="1"/>
      <c r="AO19" s="1"/>
      <c r="AP19" s="1"/>
      <c r="AQ19" s="1">
        <v>1</v>
      </c>
      <c r="AR19" s="1"/>
      <c r="AS19" s="1"/>
      <c r="AT19" s="1"/>
      <c r="AU19" s="1"/>
      <c r="AV19" s="1"/>
      <c r="AW19" s="1"/>
      <c r="AX19" s="1"/>
      <c r="AY19" s="1"/>
      <c r="AZ19" s="1">
        <v>4</v>
      </c>
      <c r="BA19" s="1"/>
      <c r="BB19" s="1"/>
      <c r="BC19" s="1"/>
      <c r="BD19" s="1"/>
      <c r="BE19" s="1">
        <v>2</v>
      </c>
      <c r="BF19" s="1">
        <v>2</v>
      </c>
      <c r="BG19" s="1">
        <v>4</v>
      </c>
      <c r="BH19" s="1"/>
      <c r="BI19" s="1"/>
      <c r="BJ19" s="1"/>
      <c r="BK19" s="1"/>
      <c r="BL19" s="1"/>
      <c r="BM19" s="1">
        <v>5</v>
      </c>
      <c r="BN19" s="1"/>
      <c r="BO19" s="1"/>
      <c r="BP19" s="1"/>
      <c r="BQ19" s="1"/>
      <c r="BR19" s="1"/>
      <c r="BS19" s="1"/>
      <c r="BT19" s="1"/>
      <c r="BU19" s="1">
        <v>3</v>
      </c>
      <c r="BV19" s="1"/>
      <c r="BW19" s="1">
        <v>4</v>
      </c>
      <c r="BX19" s="1">
        <v>3</v>
      </c>
      <c r="BY19" s="1">
        <v>2</v>
      </c>
      <c r="BZ19" s="1">
        <v>3</v>
      </c>
      <c r="CA19" s="1"/>
      <c r="CB19" s="1"/>
      <c r="CC19" s="1"/>
      <c r="CD19" s="1"/>
      <c r="CE19" s="1"/>
      <c r="CF19" s="1">
        <v>3</v>
      </c>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K19" s="15" t="str">
        <f t="shared" si="0"/>
        <v>DER C&amp;C</v>
      </c>
    </row>
    <row r="20" spans="1:115" ht="24" x14ac:dyDescent="0.25">
      <c r="A20" s="25"/>
      <c r="B20" s="26"/>
      <c r="C20" s="3">
        <f t="shared" si="1"/>
        <v>16</v>
      </c>
      <c r="D20" s="2" t="s">
        <v>364</v>
      </c>
      <c r="E20" s="1"/>
      <c r="F20" s="1"/>
      <c r="G20" s="1"/>
      <c r="H20" s="1"/>
      <c r="I20" s="1"/>
      <c r="J20" s="1"/>
      <c r="K20" s="1"/>
      <c r="L20" s="1"/>
      <c r="M20" s="1"/>
      <c r="N20" s="1"/>
      <c r="O20" s="1"/>
      <c r="P20" s="1"/>
      <c r="Q20" s="1"/>
      <c r="R20" s="1"/>
      <c r="S20" s="1"/>
      <c r="T20" s="1"/>
      <c r="U20" s="1"/>
      <c r="V20" s="1"/>
      <c r="W20" s="1"/>
      <c r="X20" s="1"/>
      <c r="Y20" s="1"/>
      <c r="Z20" s="1">
        <v>3</v>
      </c>
      <c r="AA20" s="1"/>
      <c r="AB20" s="1"/>
      <c r="AC20" s="1"/>
      <c r="AD20" s="1"/>
      <c r="AE20" s="1"/>
      <c r="AF20" s="1"/>
      <c r="AG20" s="1"/>
      <c r="AH20" s="1"/>
      <c r="AI20" s="1">
        <v>1</v>
      </c>
      <c r="AJ20" s="1"/>
      <c r="AK20" s="1"/>
      <c r="AL20" s="1">
        <v>1</v>
      </c>
      <c r="AM20" s="1"/>
      <c r="AN20" s="1"/>
      <c r="AO20" s="1"/>
      <c r="AP20" s="1"/>
      <c r="AQ20" s="1"/>
      <c r="AR20" s="1"/>
      <c r="AS20" s="1"/>
      <c r="AT20" s="1"/>
      <c r="AU20" s="1"/>
      <c r="AV20" s="1"/>
      <c r="AW20" s="1"/>
      <c r="AX20" s="1"/>
      <c r="AY20" s="1"/>
      <c r="AZ20" s="1"/>
      <c r="BA20" s="1"/>
      <c r="BB20" s="1"/>
      <c r="BC20" s="1"/>
      <c r="BD20" s="1"/>
      <c r="BE20" s="1">
        <v>2</v>
      </c>
      <c r="BF20" s="1"/>
      <c r="BG20" s="1">
        <v>1</v>
      </c>
      <c r="BH20" s="1"/>
      <c r="BI20" s="1"/>
      <c r="BJ20" s="1"/>
      <c r="BK20" s="1"/>
      <c r="BL20" s="1"/>
      <c r="BM20" s="1"/>
      <c r="BN20" s="1"/>
      <c r="BO20" s="1"/>
      <c r="BP20" s="1"/>
      <c r="BQ20" s="1"/>
      <c r="BR20" s="1"/>
      <c r="BS20" s="1"/>
      <c r="BT20" s="1"/>
      <c r="BU20" s="1"/>
      <c r="BV20" s="1"/>
      <c r="BW20" s="1"/>
      <c r="BX20" s="1"/>
      <c r="BY20" s="1"/>
      <c r="BZ20" s="1"/>
      <c r="CA20" s="1"/>
      <c r="CB20" s="1"/>
      <c r="CC20" s="1"/>
      <c r="CD20" s="1"/>
      <c r="CE20" s="1"/>
      <c r="CF20" s="1">
        <v>4</v>
      </c>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K20" s="15" t="str">
        <f t="shared" si="0"/>
        <v>DER C&amp;C</v>
      </c>
    </row>
    <row r="21" spans="1:115" ht="24" x14ac:dyDescent="0.25">
      <c r="A21" s="25"/>
      <c r="B21" s="26" t="s">
        <v>365</v>
      </c>
      <c r="C21" s="3">
        <f t="shared" si="1"/>
        <v>17</v>
      </c>
      <c r="D21" s="2" t="s">
        <v>366</v>
      </c>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v>3</v>
      </c>
      <c r="AI21" s="1"/>
      <c r="AJ21" s="1"/>
      <c r="AK21" s="1"/>
      <c r="AL21" s="1"/>
      <c r="AM21" s="1"/>
      <c r="AN21" s="1"/>
      <c r="AO21" s="1"/>
      <c r="AP21" s="1"/>
      <c r="AQ21" s="1"/>
      <c r="AR21" s="1"/>
      <c r="AS21" s="1"/>
      <c r="AT21" s="1"/>
      <c r="AU21" s="1"/>
      <c r="AV21" s="1"/>
      <c r="AW21" s="1"/>
      <c r="AX21" s="1"/>
      <c r="AY21" s="1"/>
      <c r="AZ21" s="1">
        <v>2</v>
      </c>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v>2</v>
      </c>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K21" s="15" t="str">
        <f t="shared" si="0"/>
        <v>DER C&amp;C</v>
      </c>
    </row>
    <row r="22" spans="1:115" ht="60" x14ac:dyDescent="0.25">
      <c r="A22" s="25"/>
      <c r="B22" s="26"/>
      <c r="C22" s="3">
        <f t="shared" si="1"/>
        <v>18</v>
      </c>
      <c r="D22" s="2" t="s">
        <v>367</v>
      </c>
      <c r="E22" s="1"/>
      <c r="F22" s="1"/>
      <c r="G22" s="1"/>
      <c r="H22" s="1"/>
      <c r="I22" s="1"/>
      <c r="J22" s="1"/>
      <c r="K22" s="1"/>
      <c r="L22" s="1"/>
      <c r="M22" s="1"/>
      <c r="N22" s="1"/>
      <c r="O22" s="1">
        <v>1</v>
      </c>
      <c r="P22" s="1"/>
      <c r="Q22" s="1"/>
      <c r="R22" s="1"/>
      <c r="S22" s="1"/>
      <c r="T22" s="1"/>
      <c r="U22" s="1"/>
      <c r="V22" s="1"/>
      <c r="W22" s="1"/>
      <c r="X22" s="1"/>
      <c r="Y22" s="1"/>
      <c r="Z22" s="1"/>
      <c r="AA22" s="1"/>
      <c r="AB22" s="1"/>
      <c r="AC22" s="1"/>
      <c r="AD22" s="1"/>
      <c r="AE22" s="1"/>
      <c r="AF22" s="1"/>
      <c r="AG22" s="1"/>
      <c r="AH22" s="1">
        <v>3</v>
      </c>
      <c r="AI22" s="1"/>
      <c r="AJ22" s="1"/>
      <c r="AK22" s="1"/>
      <c r="AL22" s="1"/>
      <c r="AM22" s="1"/>
      <c r="AN22" s="1"/>
      <c r="AO22" s="1"/>
      <c r="AP22" s="1"/>
      <c r="AQ22" s="1">
        <v>1</v>
      </c>
      <c r="AR22" s="1"/>
      <c r="AS22" s="1"/>
      <c r="AT22" s="1"/>
      <c r="AU22" s="1"/>
      <c r="AV22" s="1"/>
      <c r="AW22" s="1"/>
      <c r="AX22" s="1"/>
      <c r="AY22" s="1"/>
      <c r="AZ22" s="1">
        <v>4</v>
      </c>
      <c r="BA22" s="1"/>
      <c r="BB22" s="1"/>
      <c r="BC22" s="1"/>
      <c r="BD22" s="1"/>
      <c r="BE22" s="1"/>
      <c r="BF22" s="1"/>
      <c r="BG22" s="1">
        <v>1</v>
      </c>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v>4</v>
      </c>
      <c r="DA22" s="1"/>
      <c r="DB22" s="1"/>
      <c r="DC22" s="1"/>
      <c r="DD22" s="1"/>
      <c r="DE22" s="1"/>
      <c r="DK22" s="15" t="str">
        <f t="shared" si="0"/>
        <v>DER C&amp;C</v>
      </c>
    </row>
    <row r="23" spans="1:115" ht="24" x14ac:dyDescent="0.25">
      <c r="A23" s="27" t="s">
        <v>345</v>
      </c>
      <c r="B23" s="26" t="s">
        <v>368</v>
      </c>
      <c r="C23" s="5">
        <f t="shared" si="1"/>
        <v>19</v>
      </c>
      <c r="D23" s="2" t="s">
        <v>369</v>
      </c>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K23" s="15" t="str">
        <f t="shared" si="0"/>
        <v>CROF</v>
      </c>
    </row>
    <row r="24" spans="1:115" ht="36" x14ac:dyDescent="0.25">
      <c r="A24" s="27"/>
      <c r="B24" s="26"/>
      <c r="C24" s="5">
        <f t="shared" si="1"/>
        <v>20</v>
      </c>
      <c r="D24" s="2" t="s">
        <v>370</v>
      </c>
      <c r="E24" s="1"/>
      <c r="F24" s="1"/>
      <c r="G24" s="1"/>
      <c r="H24" s="1"/>
      <c r="I24" s="1"/>
      <c r="J24" s="1"/>
      <c r="K24" s="1"/>
      <c r="L24" s="1"/>
      <c r="M24" s="1"/>
      <c r="N24" s="1"/>
      <c r="O24" s="1"/>
      <c r="P24" s="1"/>
      <c r="Q24" s="1">
        <v>3</v>
      </c>
      <c r="R24" s="1"/>
      <c r="S24" s="1"/>
      <c r="T24" s="1"/>
      <c r="U24" s="1"/>
      <c r="V24" s="1">
        <v>5</v>
      </c>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v>5</v>
      </c>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K24" s="15" t="str">
        <f t="shared" si="0"/>
        <v>CROF</v>
      </c>
    </row>
    <row r="25" spans="1:115" ht="48" x14ac:dyDescent="0.25">
      <c r="A25" s="27"/>
      <c r="B25" s="26"/>
      <c r="C25" s="5">
        <f t="shared" si="1"/>
        <v>21</v>
      </c>
      <c r="D25" s="2" t="s">
        <v>371</v>
      </c>
      <c r="E25" s="1">
        <v>3</v>
      </c>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K25" s="15" t="str">
        <f t="shared" si="0"/>
        <v>CROF</v>
      </c>
    </row>
    <row r="26" spans="1:115" ht="36" x14ac:dyDescent="0.25">
      <c r="A26" s="27"/>
      <c r="B26" s="26" t="s">
        <v>372</v>
      </c>
      <c r="C26" s="5">
        <f t="shared" si="1"/>
        <v>22</v>
      </c>
      <c r="D26" s="2" t="s">
        <v>373</v>
      </c>
      <c r="E26" s="1"/>
      <c r="F26" s="1"/>
      <c r="G26" s="1"/>
      <c r="H26" s="1"/>
      <c r="I26" s="1"/>
      <c r="J26" s="1"/>
      <c r="K26" s="1"/>
      <c r="L26" s="1"/>
      <c r="M26" s="1"/>
      <c r="N26" s="1"/>
      <c r="O26" s="1"/>
      <c r="P26" s="1"/>
      <c r="Q26" s="1"/>
      <c r="R26" s="1"/>
      <c r="S26" s="1"/>
      <c r="T26" s="1"/>
      <c r="U26" s="1"/>
      <c r="V26" s="1"/>
      <c r="W26" s="1"/>
      <c r="X26" s="1">
        <v>1</v>
      </c>
      <c r="Y26" s="1"/>
      <c r="Z26" s="1"/>
      <c r="AA26" s="1">
        <v>1</v>
      </c>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K26" s="15" t="str">
        <f t="shared" si="0"/>
        <v>CROF</v>
      </c>
    </row>
    <row r="27" spans="1:115" ht="48" x14ac:dyDescent="0.25">
      <c r="A27" s="27"/>
      <c r="B27" s="26"/>
      <c r="C27" s="5">
        <f t="shared" si="1"/>
        <v>23</v>
      </c>
      <c r="D27" s="2" t="s">
        <v>374</v>
      </c>
      <c r="E27" s="1"/>
      <c r="F27" s="1"/>
      <c r="G27" s="1"/>
      <c r="H27" s="1"/>
      <c r="I27" s="1"/>
      <c r="J27" s="1"/>
      <c r="K27" s="1"/>
      <c r="L27" s="1"/>
      <c r="M27" s="1"/>
      <c r="N27" s="1"/>
      <c r="O27" s="1"/>
      <c r="P27" s="1"/>
      <c r="Q27" s="1"/>
      <c r="R27" s="1"/>
      <c r="S27" s="1"/>
      <c r="T27" s="1"/>
      <c r="U27" s="1"/>
      <c r="V27" s="1"/>
      <c r="W27" s="1"/>
      <c r="X27" s="1">
        <v>1</v>
      </c>
      <c r="Y27" s="1"/>
      <c r="Z27" s="1"/>
      <c r="AA27" s="1">
        <v>1</v>
      </c>
      <c r="AB27" s="1"/>
      <c r="AC27" s="1"/>
      <c r="AD27" s="1"/>
      <c r="AE27" s="1"/>
      <c r="AF27" s="1"/>
      <c r="AG27" s="1"/>
      <c r="AH27" s="1"/>
      <c r="AI27" s="1"/>
      <c r="AJ27" s="1"/>
      <c r="AK27" s="1"/>
      <c r="AL27" s="1"/>
      <c r="AM27" s="1"/>
      <c r="AN27" s="1">
        <v>1</v>
      </c>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K27" s="15" t="str">
        <f t="shared" si="0"/>
        <v>CROF</v>
      </c>
    </row>
    <row r="28" spans="1:115" ht="36" x14ac:dyDescent="0.25">
      <c r="A28" s="27"/>
      <c r="B28" s="26" t="s">
        <v>375</v>
      </c>
      <c r="C28" s="5">
        <f t="shared" si="1"/>
        <v>24</v>
      </c>
      <c r="D28" s="2" t="s">
        <v>376</v>
      </c>
      <c r="E28" s="1"/>
      <c r="F28" s="1"/>
      <c r="G28" s="1"/>
      <c r="H28" s="1"/>
      <c r="I28" s="1"/>
      <c r="J28" s="1">
        <v>2</v>
      </c>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v>3</v>
      </c>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K28" s="15" t="str">
        <f t="shared" si="0"/>
        <v>CROF</v>
      </c>
    </row>
    <row r="29" spans="1:115" ht="36" x14ac:dyDescent="0.25">
      <c r="A29" s="27"/>
      <c r="B29" s="26"/>
      <c r="C29" s="5">
        <f t="shared" si="1"/>
        <v>25</v>
      </c>
      <c r="D29" s="2" t="s">
        <v>377</v>
      </c>
      <c r="E29" s="1"/>
      <c r="F29" s="1"/>
      <c r="G29" s="1"/>
      <c r="H29" s="1">
        <v>3</v>
      </c>
      <c r="I29" s="1"/>
      <c r="J29" s="1"/>
      <c r="K29" s="1"/>
      <c r="L29" s="1"/>
      <c r="M29" s="1"/>
      <c r="N29" s="1"/>
      <c r="O29" s="1"/>
      <c r="P29" s="1"/>
      <c r="Q29" s="1"/>
      <c r="R29" s="1">
        <v>4</v>
      </c>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v>3</v>
      </c>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K29" s="15" t="str">
        <f t="shared" si="0"/>
        <v>CROF</v>
      </c>
    </row>
    <row r="30" spans="1:115" ht="36" x14ac:dyDescent="0.25">
      <c r="A30" s="27"/>
      <c r="B30" s="4" t="s">
        <v>378</v>
      </c>
      <c r="C30" s="5">
        <f t="shared" si="1"/>
        <v>26</v>
      </c>
      <c r="D30" s="2" t="s">
        <v>379</v>
      </c>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K30" s="15" t="str">
        <f t="shared" si="0"/>
        <v>CROF</v>
      </c>
    </row>
    <row r="31" spans="1:115" ht="36" x14ac:dyDescent="0.25">
      <c r="A31" s="27"/>
      <c r="B31" s="4" t="s">
        <v>380</v>
      </c>
      <c r="C31" s="5">
        <f t="shared" si="1"/>
        <v>27</v>
      </c>
      <c r="D31" s="2" t="s">
        <v>381</v>
      </c>
      <c r="E31" s="1"/>
      <c r="F31" s="1"/>
      <c r="G31" s="1"/>
      <c r="H31" s="1"/>
      <c r="I31" s="1"/>
      <c r="J31" s="1"/>
      <c r="K31" s="1"/>
      <c r="L31" s="1"/>
      <c r="M31" s="1"/>
      <c r="N31" s="1"/>
      <c r="O31" s="1"/>
      <c r="P31" s="1"/>
      <c r="Q31" s="1"/>
      <c r="R31" s="1"/>
      <c r="S31" s="1">
        <v>3</v>
      </c>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K31" s="15" t="str">
        <f t="shared" si="0"/>
        <v>CROF</v>
      </c>
    </row>
    <row r="32" spans="1:115" ht="36" x14ac:dyDescent="0.25">
      <c r="A32" s="27" t="s">
        <v>347</v>
      </c>
      <c r="B32" s="26" t="s">
        <v>382</v>
      </c>
      <c r="C32" s="3">
        <f t="shared" si="1"/>
        <v>28</v>
      </c>
      <c r="D32" s="2" t="s">
        <v>383</v>
      </c>
      <c r="E32" s="1">
        <v>3</v>
      </c>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v>3</v>
      </c>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K32" s="15" t="str">
        <f t="shared" si="0"/>
        <v>System Services</v>
      </c>
    </row>
    <row r="33" spans="1:115" ht="36" x14ac:dyDescent="0.25">
      <c r="A33" s="27"/>
      <c r="B33" s="26"/>
      <c r="C33" s="3">
        <f t="shared" si="1"/>
        <v>29</v>
      </c>
      <c r="D33" s="2" t="s">
        <v>384</v>
      </c>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K33" s="15" t="str">
        <f t="shared" si="0"/>
        <v>System Services</v>
      </c>
    </row>
    <row r="34" spans="1:115" ht="24" x14ac:dyDescent="0.25">
      <c r="A34" s="27"/>
      <c r="B34" s="26"/>
      <c r="C34" s="3">
        <f t="shared" si="1"/>
        <v>30</v>
      </c>
      <c r="D34" s="2" t="s">
        <v>385</v>
      </c>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v>4</v>
      </c>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K34" s="15" t="str">
        <f t="shared" si="0"/>
        <v>System Services</v>
      </c>
    </row>
    <row r="35" spans="1:115" ht="36" x14ac:dyDescent="0.25">
      <c r="A35" s="27"/>
      <c r="B35" s="26"/>
      <c r="C35" s="3">
        <f t="shared" si="1"/>
        <v>31</v>
      </c>
      <c r="D35" s="2" t="s">
        <v>386</v>
      </c>
      <c r="E35" s="1">
        <v>3</v>
      </c>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K35" s="15" t="str">
        <f t="shared" si="0"/>
        <v>System Services</v>
      </c>
    </row>
    <row r="36" spans="1:115" ht="36" x14ac:dyDescent="0.25">
      <c r="A36" s="27"/>
      <c r="B36" s="26" t="s">
        <v>387</v>
      </c>
      <c r="C36" s="3">
        <f t="shared" si="1"/>
        <v>32</v>
      </c>
      <c r="D36" s="2" t="s">
        <v>388</v>
      </c>
      <c r="E36" s="1"/>
      <c r="F36" s="1">
        <v>2</v>
      </c>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v>4</v>
      </c>
      <c r="BO36" s="1"/>
      <c r="BP36" s="1"/>
      <c r="BQ36" s="1"/>
      <c r="BR36" s="1"/>
      <c r="BS36" s="1"/>
      <c r="BT36" s="1"/>
      <c r="BU36" s="1"/>
      <c r="BV36" s="1"/>
      <c r="BW36" s="1"/>
      <c r="BX36" s="1"/>
      <c r="BY36" s="1"/>
      <c r="BZ36" s="1"/>
      <c r="CA36" s="1"/>
      <c r="CB36" s="1">
        <v>3</v>
      </c>
      <c r="CC36" s="1">
        <v>4</v>
      </c>
      <c r="CD36" s="1"/>
      <c r="CE36" s="1"/>
      <c r="CF36" s="1"/>
      <c r="CG36" s="1"/>
      <c r="CH36" s="1"/>
      <c r="CI36" s="1"/>
      <c r="CJ36" s="1"/>
      <c r="CK36" s="1"/>
      <c r="CL36" s="1"/>
      <c r="CM36" s="1"/>
      <c r="CN36" s="1"/>
      <c r="CO36" s="1"/>
      <c r="CP36" s="1"/>
      <c r="CQ36" s="1">
        <v>5</v>
      </c>
      <c r="CR36" s="1"/>
      <c r="CS36" s="1"/>
      <c r="CT36" s="1"/>
      <c r="CU36" s="1"/>
      <c r="CV36" s="1"/>
      <c r="CW36" s="1"/>
      <c r="CX36" s="1"/>
      <c r="CY36" s="1"/>
      <c r="CZ36" s="1"/>
      <c r="DA36" s="1"/>
      <c r="DB36" s="1"/>
      <c r="DC36" s="1"/>
      <c r="DD36" s="1"/>
      <c r="DE36" s="1"/>
      <c r="DK36" s="15" t="str">
        <f t="shared" si="0"/>
        <v>System Services</v>
      </c>
    </row>
    <row r="37" spans="1:115" ht="48" x14ac:dyDescent="0.25">
      <c r="A37" s="27"/>
      <c r="B37" s="26"/>
      <c r="C37" s="3">
        <f t="shared" si="1"/>
        <v>33</v>
      </c>
      <c r="D37" s="2" t="s">
        <v>389</v>
      </c>
      <c r="E37" s="1"/>
      <c r="F37" s="1"/>
      <c r="G37" s="1"/>
      <c r="H37" s="1"/>
      <c r="I37" s="1"/>
      <c r="J37" s="1"/>
      <c r="K37" s="1"/>
      <c r="L37" s="1"/>
      <c r="M37" s="1"/>
      <c r="N37" s="1"/>
      <c r="O37" s="1">
        <v>3</v>
      </c>
      <c r="P37" s="1"/>
      <c r="Q37" s="1"/>
      <c r="R37" s="1"/>
      <c r="S37" s="1"/>
      <c r="T37" s="1"/>
      <c r="U37" s="1"/>
      <c r="V37" s="1"/>
      <c r="W37" s="1">
        <v>1</v>
      </c>
      <c r="X37" s="1"/>
      <c r="Y37" s="1"/>
      <c r="Z37" s="1"/>
      <c r="AA37" s="1"/>
      <c r="AB37" s="1">
        <v>2</v>
      </c>
      <c r="AC37" s="1"/>
      <c r="AD37" s="1">
        <v>2</v>
      </c>
      <c r="AE37" s="1"/>
      <c r="AF37" s="1"/>
      <c r="AG37" s="1"/>
      <c r="AH37" s="1"/>
      <c r="AI37" s="1"/>
      <c r="AJ37" s="1"/>
      <c r="AK37" s="1"/>
      <c r="AL37" s="1"/>
      <c r="AM37" s="1"/>
      <c r="AN37" s="1"/>
      <c r="AO37" s="1"/>
      <c r="AP37" s="1"/>
      <c r="AQ37" s="1"/>
      <c r="AR37" s="1"/>
      <c r="AS37" s="1">
        <v>2</v>
      </c>
      <c r="AT37" s="1">
        <v>2</v>
      </c>
      <c r="AU37" s="1">
        <v>4</v>
      </c>
      <c r="AV37" s="1">
        <v>3</v>
      </c>
      <c r="AW37" s="1"/>
      <c r="AX37" s="1"/>
      <c r="AY37" s="1">
        <v>4</v>
      </c>
      <c r="AZ37" s="1"/>
      <c r="BA37" s="1"/>
      <c r="BB37" s="1"/>
      <c r="BC37" s="1">
        <v>2</v>
      </c>
      <c r="BD37" s="1"/>
      <c r="BE37" s="1"/>
      <c r="BF37" s="1"/>
      <c r="BG37" s="1"/>
      <c r="BH37" s="1"/>
      <c r="BI37" s="1">
        <v>3</v>
      </c>
      <c r="BJ37" s="1">
        <v>3</v>
      </c>
      <c r="BK37" s="1">
        <v>3</v>
      </c>
      <c r="BL37" s="1"/>
      <c r="BM37" s="1"/>
      <c r="BN37" s="1">
        <v>3</v>
      </c>
      <c r="BO37" s="1"/>
      <c r="BP37" s="1"/>
      <c r="BQ37" s="1"/>
      <c r="BR37" s="1"/>
      <c r="BS37" s="1"/>
      <c r="BT37" s="1"/>
      <c r="BU37" s="1"/>
      <c r="BV37" s="1"/>
      <c r="BW37" s="1"/>
      <c r="BX37" s="1"/>
      <c r="BY37" s="1"/>
      <c r="BZ37" s="1"/>
      <c r="CA37" s="1"/>
      <c r="CB37" s="1">
        <v>3</v>
      </c>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K37" s="15" t="str">
        <f t="shared" si="0"/>
        <v>System Services</v>
      </c>
    </row>
    <row r="38" spans="1:115" ht="24" x14ac:dyDescent="0.25">
      <c r="A38" s="27"/>
      <c r="B38" s="26"/>
      <c r="C38" s="3">
        <f t="shared" si="1"/>
        <v>34</v>
      </c>
      <c r="D38" s="2" t="s">
        <v>390</v>
      </c>
      <c r="E38" s="1"/>
      <c r="F38" s="1">
        <v>2</v>
      </c>
      <c r="G38" s="1"/>
      <c r="H38" s="1"/>
      <c r="I38" s="1"/>
      <c r="J38" s="1"/>
      <c r="K38" s="1"/>
      <c r="L38" s="1"/>
      <c r="M38" s="1"/>
      <c r="N38" s="1"/>
      <c r="O38" s="1"/>
      <c r="P38" s="1"/>
      <c r="Q38" s="1"/>
      <c r="R38" s="1"/>
      <c r="S38" s="1"/>
      <c r="T38" s="1"/>
      <c r="U38" s="1"/>
      <c r="V38" s="1"/>
      <c r="W38" s="1"/>
      <c r="X38" s="1"/>
      <c r="Y38" s="1"/>
      <c r="Z38" s="1"/>
      <c r="AA38" s="1"/>
      <c r="AB38" s="1">
        <v>3</v>
      </c>
      <c r="AC38" s="1"/>
      <c r="AD38" s="1">
        <v>2</v>
      </c>
      <c r="AE38" s="1"/>
      <c r="AF38" s="1"/>
      <c r="AG38" s="1"/>
      <c r="AH38" s="1"/>
      <c r="AI38" s="1"/>
      <c r="AJ38" s="1"/>
      <c r="AK38" s="1"/>
      <c r="AL38" s="1"/>
      <c r="AM38" s="1"/>
      <c r="AN38" s="1"/>
      <c r="AO38" s="1"/>
      <c r="AP38" s="1"/>
      <c r="AQ38" s="1"/>
      <c r="AR38" s="1"/>
      <c r="AS38" s="1"/>
      <c r="AT38" s="1"/>
      <c r="AU38" s="1"/>
      <c r="AV38" s="1"/>
      <c r="AW38" s="1"/>
      <c r="AX38" s="1"/>
      <c r="AY38" s="1"/>
      <c r="AZ38" s="1"/>
      <c r="BA38" s="1"/>
      <c r="BB38" s="1"/>
      <c r="BC38" s="1">
        <v>2</v>
      </c>
      <c r="BD38" s="1"/>
      <c r="BE38" s="1"/>
      <c r="BF38" s="1"/>
      <c r="BG38" s="1"/>
      <c r="BH38" s="1"/>
      <c r="BI38" s="1">
        <v>5</v>
      </c>
      <c r="BJ38" s="1"/>
      <c r="BK38" s="1"/>
      <c r="BL38" s="1"/>
      <c r="BM38" s="1"/>
      <c r="BN38" s="1"/>
      <c r="BO38" s="1"/>
      <c r="BP38" s="1"/>
      <c r="BQ38" s="1"/>
      <c r="BR38" s="1"/>
      <c r="BS38" s="1"/>
      <c r="BT38" s="1"/>
      <c r="BU38" s="1"/>
      <c r="BV38" s="1"/>
      <c r="BW38" s="1"/>
      <c r="BX38" s="1"/>
      <c r="BY38" s="1"/>
      <c r="BZ38" s="1"/>
      <c r="CA38" s="1">
        <v>3</v>
      </c>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K38" s="15" t="str">
        <f t="shared" si="0"/>
        <v>System Services</v>
      </c>
    </row>
    <row r="39" spans="1:115" ht="48" x14ac:dyDescent="0.25">
      <c r="A39" s="27"/>
      <c r="B39" s="26"/>
      <c r="C39" s="3">
        <f t="shared" si="1"/>
        <v>35</v>
      </c>
      <c r="D39" s="2" t="s">
        <v>391</v>
      </c>
      <c r="E39" s="1">
        <v>3</v>
      </c>
      <c r="F39" s="1">
        <v>4</v>
      </c>
      <c r="G39" s="1"/>
      <c r="H39" s="1"/>
      <c r="I39" s="1"/>
      <c r="J39" s="1"/>
      <c r="K39" s="1"/>
      <c r="L39" s="1">
        <v>4</v>
      </c>
      <c r="M39" s="1"/>
      <c r="N39" s="1"/>
      <c r="O39" s="1"/>
      <c r="P39" s="1"/>
      <c r="Q39" s="1">
        <v>1</v>
      </c>
      <c r="R39" s="1"/>
      <c r="S39" s="1"/>
      <c r="T39" s="1"/>
      <c r="U39" s="1"/>
      <c r="V39" s="1"/>
      <c r="W39" s="1">
        <v>2</v>
      </c>
      <c r="X39" s="1"/>
      <c r="Y39" s="1"/>
      <c r="Z39" s="1"/>
      <c r="AA39" s="1"/>
      <c r="AB39" s="1"/>
      <c r="AC39" s="1"/>
      <c r="AD39" s="1"/>
      <c r="AE39" s="1"/>
      <c r="AF39" s="1"/>
      <c r="AG39" s="1"/>
      <c r="AH39" s="1"/>
      <c r="AI39" s="1"/>
      <c r="AJ39" s="1"/>
      <c r="AK39" s="1"/>
      <c r="AL39" s="1"/>
      <c r="AM39" s="1"/>
      <c r="AN39" s="1"/>
      <c r="AO39" s="1"/>
      <c r="AP39" s="1"/>
      <c r="AQ39" s="1"/>
      <c r="AR39" s="1">
        <v>3</v>
      </c>
      <c r="AS39" s="1">
        <v>3</v>
      </c>
      <c r="AT39" s="1">
        <v>2</v>
      </c>
      <c r="AU39" s="1">
        <v>3</v>
      </c>
      <c r="AV39" s="1">
        <v>2</v>
      </c>
      <c r="AW39" s="1">
        <v>5</v>
      </c>
      <c r="AX39" s="1"/>
      <c r="AY39" s="1"/>
      <c r="AZ39" s="1"/>
      <c r="BA39" s="1"/>
      <c r="BB39" s="1"/>
      <c r="BC39" s="1">
        <v>4</v>
      </c>
      <c r="BD39" s="1">
        <v>2</v>
      </c>
      <c r="BE39" s="1"/>
      <c r="BF39" s="1"/>
      <c r="BG39" s="1"/>
      <c r="BH39" s="1"/>
      <c r="BI39" s="1"/>
      <c r="BJ39" s="1">
        <v>4</v>
      </c>
      <c r="BK39" s="1">
        <v>3</v>
      </c>
      <c r="BL39" s="1"/>
      <c r="BM39" s="1"/>
      <c r="BN39" s="1">
        <v>3</v>
      </c>
      <c r="BO39" s="1"/>
      <c r="BP39" s="1"/>
      <c r="BQ39" s="1"/>
      <c r="BR39" s="1">
        <v>3</v>
      </c>
      <c r="BS39" s="1"/>
      <c r="BT39" s="1"/>
      <c r="BU39" s="1"/>
      <c r="BV39" s="1"/>
      <c r="BW39" s="1"/>
      <c r="BX39" s="1"/>
      <c r="BY39" s="1"/>
      <c r="BZ39" s="1"/>
      <c r="CA39" s="1">
        <v>3</v>
      </c>
      <c r="CB39" s="1">
        <v>4</v>
      </c>
      <c r="CC39" s="1"/>
      <c r="CD39" s="1"/>
      <c r="CE39" s="1"/>
      <c r="CF39" s="1"/>
      <c r="CG39" s="1"/>
      <c r="CH39" s="1"/>
      <c r="CI39" s="1"/>
      <c r="CJ39" s="1"/>
      <c r="CK39" s="1"/>
      <c r="CL39" s="1"/>
      <c r="CM39" s="1"/>
      <c r="CN39" s="1"/>
      <c r="CO39" s="1"/>
      <c r="CP39" s="1"/>
      <c r="CQ39" s="1"/>
      <c r="CR39" s="1"/>
      <c r="CS39" s="1"/>
      <c r="CT39" s="1">
        <v>4</v>
      </c>
      <c r="CU39" s="1"/>
      <c r="CV39" s="1">
        <v>3</v>
      </c>
      <c r="CW39" s="1">
        <v>2</v>
      </c>
      <c r="CX39" s="1"/>
      <c r="CY39" s="1"/>
      <c r="CZ39" s="1"/>
      <c r="DA39" s="1"/>
      <c r="DB39" s="1"/>
      <c r="DC39" s="1"/>
      <c r="DD39" s="1"/>
      <c r="DE39" s="1"/>
      <c r="DK39" s="15" t="str">
        <f t="shared" si="0"/>
        <v>System Services</v>
      </c>
    </row>
    <row r="40" spans="1:115" ht="24" x14ac:dyDescent="0.25">
      <c r="A40" s="27"/>
      <c r="B40" s="26"/>
      <c r="C40" s="3">
        <f t="shared" si="1"/>
        <v>36</v>
      </c>
      <c r="D40" s="2" t="s">
        <v>392</v>
      </c>
      <c r="E40" s="1">
        <v>5</v>
      </c>
      <c r="F40" s="1"/>
      <c r="G40" s="1"/>
      <c r="H40" s="1"/>
      <c r="I40" s="1"/>
      <c r="J40" s="1"/>
      <c r="K40" s="1"/>
      <c r="L40" s="1"/>
      <c r="M40" s="1"/>
      <c r="N40" s="1"/>
      <c r="O40" s="1"/>
      <c r="P40" s="1"/>
      <c r="Q40" s="1"/>
      <c r="R40" s="1"/>
      <c r="S40" s="1"/>
      <c r="T40" s="1"/>
      <c r="U40" s="1"/>
      <c r="V40" s="1"/>
      <c r="W40" s="1"/>
      <c r="X40" s="1"/>
      <c r="Y40" s="1"/>
      <c r="Z40" s="1"/>
      <c r="AA40" s="1"/>
      <c r="AB40" s="1">
        <v>2</v>
      </c>
      <c r="AC40" s="1"/>
      <c r="AD40" s="1"/>
      <c r="AE40" s="1"/>
      <c r="AF40" s="1"/>
      <c r="AG40" s="1"/>
      <c r="AH40" s="1"/>
      <c r="AI40" s="1"/>
      <c r="AJ40" s="1"/>
      <c r="AK40" s="1"/>
      <c r="AL40" s="1"/>
      <c r="AM40" s="1"/>
      <c r="AN40" s="1"/>
      <c r="AO40" s="1">
        <v>4</v>
      </c>
      <c r="AP40" s="1"/>
      <c r="AQ40" s="1"/>
      <c r="AR40" s="1">
        <v>3</v>
      </c>
      <c r="AS40" s="1">
        <v>3</v>
      </c>
      <c r="AT40" s="1">
        <v>5</v>
      </c>
      <c r="AU40" s="1">
        <v>3</v>
      </c>
      <c r="AV40" s="1">
        <v>5</v>
      </c>
      <c r="AW40" s="1"/>
      <c r="AX40" s="1"/>
      <c r="AY40" s="1"/>
      <c r="AZ40" s="1"/>
      <c r="BA40" s="1"/>
      <c r="BB40" s="1"/>
      <c r="BC40" s="1">
        <v>4</v>
      </c>
      <c r="BD40" s="1">
        <v>5</v>
      </c>
      <c r="BE40" s="1"/>
      <c r="BF40" s="1"/>
      <c r="BG40" s="1"/>
      <c r="BH40" s="1"/>
      <c r="BI40" s="1"/>
      <c r="BJ40" s="1">
        <v>3</v>
      </c>
      <c r="BK40" s="1">
        <v>3</v>
      </c>
      <c r="BL40" s="1"/>
      <c r="BM40" s="1"/>
      <c r="BN40" s="1">
        <v>4</v>
      </c>
      <c r="BO40" s="1"/>
      <c r="BP40" s="1"/>
      <c r="BQ40" s="1"/>
      <c r="BR40" s="1">
        <v>4</v>
      </c>
      <c r="BS40" s="1">
        <v>5</v>
      </c>
      <c r="BT40" s="1"/>
      <c r="BU40" s="1"/>
      <c r="BV40" s="1"/>
      <c r="BW40" s="1"/>
      <c r="BX40" s="1"/>
      <c r="BY40" s="1"/>
      <c r="BZ40" s="1"/>
      <c r="CA40" s="1"/>
      <c r="CB40" s="1">
        <v>4</v>
      </c>
      <c r="CC40" s="1">
        <v>3</v>
      </c>
      <c r="CD40" s="1"/>
      <c r="CE40" s="1"/>
      <c r="CF40" s="1"/>
      <c r="CG40" s="1"/>
      <c r="CH40" s="1">
        <v>4</v>
      </c>
      <c r="CI40" s="1"/>
      <c r="CJ40" s="1"/>
      <c r="CK40" s="1"/>
      <c r="CL40" s="1"/>
      <c r="CM40" s="1"/>
      <c r="CN40" s="1"/>
      <c r="CO40" s="1"/>
      <c r="CP40" s="1"/>
      <c r="CQ40" s="1"/>
      <c r="CR40" s="1"/>
      <c r="CS40" s="1"/>
      <c r="CT40" s="1"/>
      <c r="CU40" s="1"/>
      <c r="CV40" s="1"/>
      <c r="CW40" s="1"/>
      <c r="CX40" s="1"/>
      <c r="CY40" s="1"/>
      <c r="CZ40" s="1"/>
      <c r="DA40" s="1"/>
      <c r="DB40" s="1"/>
      <c r="DC40" s="1"/>
      <c r="DD40" s="1"/>
      <c r="DE40" s="1"/>
      <c r="DK40" s="15" t="str">
        <f t="shared" si="0"/>
        <v>System Services</v>
      </c>
    </row>
    <row r="41" spans="1:115" ht="24" x14ac:dyDescent="0.25">
      <c r="A41" s="27" t="s">
        <v>350</v>
      </c>
      <c r="B41" s="26" t="s">
        <v>393</v>
      </c>
      <c r="C41" s="3">
        <f t="shared" si="1"/>
        <v>37</v>
      </c>
      <c r="D41" s="2" t="s">
        <v>394</v>
      </c>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v>3</v>
      </c>
      <c r="BU41" s="1"/>
      <c r="BV41" s="1"/>
      <c r="BW41" s="1"/>
      <c r="BX41" s="1"/>
      <c r="BY41" s="1"/>
      <c r="BZ41" s="1"/>
      <c r="CA41" s="1"/>
      <c r="CB41" s="1"/>
      <c r="CC41" s="1"/>
      <c r="CD41" s="1"/>
      <c r="CE41" s="1"/>
      <c r="CF41" s="1"/>
      <c r="CG41" s="1"/>
      <c r="CH41" s="1"/>
      <c r="CI41" s="1">
        <v>4</v>
      </c>
      <c r="CJ41" s="1"/>
      <c r="CK41" s="1"/>
      <c r="CL41" s="1"/>
      <c r="CM41" s="1"/>
      <c r="CN41" s="1"/>
      <c r="CO41" s="1"/>
      <c r="CP41" s="1"/>
      <c r="CQ41" s="1"/>
      <c r="CR41" s="1"/>
      <c r="CS41" s="1"/>
      <c r="CT41" s="1"/>
      <c r="CU41" s="1"/>
      <c r="CV41" s="1"/>
      <c r="CW41" s="1"/>
      <c r="CX41" s="1"/>
      <c r="CY41" s="1"/>
      <c r="CZ41" s="1"/>
      <c r="DA41" s="1"/>
      <c r="DB41" s="1"/>
      <c r="DC41" s="1"/>
      <c r="DD41" s="1">
        <v>5</v>
      </c>
      <c r="DE41" s="1"/>
      <c r="DK41" s="15" t="str">
        <f t="shared" si="0"/>
        <v>Planning</v>
      </c>
    </row>
    <row r="42" spans="1:115" x14ac:dyDescent="0.25">
      <c r="A42" s="27"/>
      <c r="B42" s="26"/>
      <c r="C42" s="3">
        <f t="shared" si="1"/>
        <v>38</v>
      </c>
      <c r="D42" s="2" t="s">
        <v>395</v>
      </c>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K42" s="15" t="str">
        <f t="shared" si="0"/>
        <v>Planning</v>
      </c>
    </row>
    <row r="43" spans="1:115" ht="48" x14ac:dyDescent="0.25">
      <c r="A43" s="27"/>
      <c r="B43" s="26"/>
      <c r="C43" s="3">
        <f t="shared" si="1"/>
        <v>39</v>
      </c>
      <c r="D43" s="2" t="s">
        <v>396</v>
      </c>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v>3</v>
      </c>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K43" s="15" t="str">
        <f t="shared" si="0"/>
        <v>Planning</v>
      </c>
    </row>
    <row r="44" spans="1:115" ht="24" x14ac:dyDescent="0.25">
      <c r="A44" s="27"/>
      <c r="B44" s="26"/>
      <c r="C44" s="3">
        <f t="shared" si="1"/>
        <v>40</v>
      </c>
      <c r="D44" s="2" t="s">
        <v>397</v>
      </c>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K44" s="15" t="str">
        <f t="shared" si="0"/>
        <v>Planning</v>
      </c>
    </row>
    <row r="45" spans="1:115" ht="36" x14ac:dyDescent="0.25">
      <c r="A45" s="27"/>
      <c r="B45" s="26" t="s">
        <v>398</v>
      </c>
      <c r="C45" s="3">
        <f t="shared" si="1"/>
        <v>41</v>
      </c>
      <c r="D45" s="2" t="s">
        <v>399</v>
      </c>
      <c r="E45" s="1"/>
      <c r="F45" s="1"/>
      <c r="G45" s="1"/>
      <c r="H45" s="1"/>
      <c r="I45" s="1"/>
      <c r="J45" s="1"/>
      <c r="K45" s="1">
        <v>4</v>
      </c>
      <c r="L45" s="1"/>
      <c r="M45" s="1">
        <v>2</v>
      </c>
      <c r="N45" s="1"/>
      <c r="O45" s="1"/>
      <c r="P45" s="1"/>
      <c r="Q45" s="1"/>
      <c r="R45" s="1"/>
      <c r="S45" s="1"/>
      <c r="T45" s="1"/>
      <c r="U45" s="1"/>
      <c r="V45" s="1"/>
      <c r="W45" s="1"/>
      <c r="X45" s="1"/>
      <c r="Y45" s="1"/>
      <c r="Z45" s="1"/>
      <c r="AA45" s="1"/>
      <c r="AB45" s="1"/>
      <c r="AC45" s="1"/>
      <c r="AD45" s="1"/>
      <c r="AE45" s="1"/>
      <c r="AF45" s="1"/>
      <c r="AG45" s="1">
        <v>3</v>
      </c>
      <c r="AH45" s="1"/>
      <c r="AI45" s="1">
        <v>2</v>
      </c>
      <c r="AJ45" s="1"/>
      <c r="AK45" s="1"/>
      <c r="AL45" s="1"/>
      <c r="AM45" s="1"/>
      <c r="AN45" s="1"/>
      <c r="AO45" s="1"/>
      <c r="AP45" s="1"/>
      <c r="AQ45" s="1">
        <v>1</v>
      </c>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v>4</v>
      </c>
      <c r="BU45" s="1"/>
      <c r="BV45" s="1"/>
      <c r="BW45" s="1"/>
      <c r="BX45" s="1"/>
      <c r="BY45" s="1"/>
      <c r="BZ45" s="1"/>
      <c r="CA45" s="1"/>
      <c r="CB45" s="1"/>
      <c r="CC45" s="1"/>
      <c r="CD45" s="1"/>
      <c r="CE45" s="1"/>
      <c r="CF45" s="1"/>
      <c r="CG45" s="1"/>
      <c r="CH45" s="1"/>
      <c r="CI45" s="1"/>
      <c r="CJ45" s="1"/>
      <c r="CK45" s="1"/>
      <c r="CL45" s="1"/>
      <c r="CM45" s="1"/>
      <c r="CN45" s="1">
        <v>3</v>
      </c>
      <c r="CO45" s="1"/>
      <c r="CP45" s="1"/>
      <c r="CQ45" s="1"/>
      <c r="CR45" s="1"/>
      <c r="CS45" s="1"/>
      <c r="CT45" s="1"/>
      <c r="CU45" s="1"/>
      <c r="CV45" s="1"/>
      <c r="CW45" s="1"/>
      <c r="CX45" s="1">
        <v>4</v>
      </c>
      <c r="CY45" s="1"/>
      <c r="CZ45" s="1"/>
      <c r="DA45" s="1">
        <v>3</v>
      </c>
      <c r="DB45" s="1">
        <v>4</v>
      </c>
      <c r="DC45" s="1"/>
      <c r="DD45" s="1"/>
      <c r="DE45" s="1"/>
      <c r="DK45" s="15" t="str">
        <f t="shared" si="0"/>
        <v>Planning</v>
      </c>
    </row>
    <row r="46" spans="1:115" ht="36" x14ac:dyDescent="0.25">
      <c r="A46" s="27"/>
      <c r="B46" s="26"/>
      <c r="C46" s="3">
        <f t="shared" si="1"/>
        <v>42</v>
      </c>
      <c r="D46" s="2" t="s">
        <v>400</v>
      </c>
      <c r="E46" s="1"/>
      <c r="F46" s="1"/>
      <c r="G46" s="1"/>
      <c r="H46" s="1"/>
      <c r="I46" s="1"/>
      <c r="J46" s="1"/>
      <c r="K46" s="1">
        <v>3</v>
      </c>
      <c r="L46" s="1"/>
      <c r="M46" s="1">
        <v>2</v>
      </c>
      <c r="N46" s="1"/>
      <c r="O46" s="1"/>
      <c r="P46" s="1"/>
      <c r="Q46" s="1"/>
      <c r="R46" s="1"/>
      <c r="S46" s="1"/>
      <c r="T46" s="1"/>
      <c r="U46" s="1"/>
      <c r="V46" s="1"/>
      <c r="W46" s="1"/>
      <c r="X46" s="1"/>
      <c r="Y46" s="1"/>
      <c r="Z46" s="1"/>
      <c r="AA46" s="1"/>
      <c r="AB46" s="1"/>
      <c r="AC46" s="1"/>
      <c r="AD46" s="1"/>
      <c r="AE46" s="1"/>
      <c r="AF46" s="1"/>
      <c r="AG46" s="1">
        <v>3</v>
      </c>
      <c r="AH46" s="1"/>
      <c r="AI46" s="1">
        <v>2</v>
      </c>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v>3</v>
      </c>
      <c r="CO46" s="1"/>
      <c r="CP46" s="1"/>
      <c r="CQ46" s="1"/>
      <c r="CR46" s="1"/>
      <c r="CS46" s="1"/>
      <c r="CT46" s="1"/>
      <c r="CU46" s="1"/>
      <c r="CV46" s="1"/>
      <c r="CW46" s="1"/>
      <c r="CX46" s="1"/>
      <c r="CY46" s="1"/>
      <c r="CZ46" s="1"/>
      <c r="DA46" s="1"/>
      <c r="DB46" s="1"/>
      <c r="DC46" s="1"/>
      <c r="DD46" s="1"/>
      <c r="DE46" s="1"/>
      <c r="DK46" s="15" t="str">
        <f t="shared" si="0"/>
        <v>Planning</v>
      </c>
    </row>
    <row r="47" spans="1:115" ht="48" x14ac:dyDescent="0.25">
      <c r="A47" s="27"/>
      <c r="B47" s="26"/>
      <c r="C47" s="3">
        <f t="shared" si="1"/>
        <v>43</v>
      </c>
      <c r="D47" s="2" t="s">
        <v>401</v>
      </c>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K47" s="15" t="str">
        <f t="shared" si="0"/>
        <v>Planning</v>
      </c>
    </row>
    <row r="48" spans="1:115" ht="24" x14ac:dyDescent="0.25">
      <c r="A48" s="27"/>
      <c r="B48" s="26"/>
      <c r="C48" s="3">
        <f t="shared" si="1"/>
        <v>44</v>
      </c>
      <c r="D48" s="2" t="s">
        <v>402</v>
      </c>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K48" s="15" t="str">
        <f t="shared" si="0"/>
        <v>Planning</v>
      </c>
    </row>
    <row r="49" spans="1:115" ht="36" x14ac:dyDescent="0.25">
      <c r="A49" s="27"/>
      <c r="B49" s="26"/>
      <c r="C49" s="3">
        <f t="shared" si="1"/>
        <v>45</v>
      </c>
      <c r="D49" s="2" t="s">
        <v>403</v>
      </c>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v>2</v>
      </c>
      <c r="CY49" s="1"/>
      <c r="CZ49" s="1"/>
      <c r="DA49" s="1"/>
      <c r="DB49" s="1"/>
      <c r="DC49" s="1"/>
      <c r="DD49" s="1"/>
      <c r="DE49" s="1"/>
      <c r="DK49" s="15" t="str">
        <f t="shared" si="0"/>
        <v>Planning</v>
      </c>
    </row>
    <row r="50" spans="1:115" ht="36" x14ac:dyDescent="0.25">
      <c r="A50" s="27"/>
      <c r="B50" s="26" t="s">
        <v>404</v>
      </c>
      <c r="C50" s="3">
        <f t="shared" si="1"/>
        <v>46</v>
      </c>
      <c r="D50" s="2" t="s">
        <v>405</v>
      </c>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K50" s="15" t="str">
        <f t="shared" si="0"/>
        <v>Planning</v>
      </c>
    </row>
    <row r="51" spans="1:115" ht="48" x14ac:dyDescent="0.25">
      <c r="A51" s="27"/>
      <c r="B51" s="26"/>
      <c r="C51" s="3">
        <f t="shared" si="1"/>
        <v>47</v>
      </c>
      <c r="D51" s="2" t="s">
        <v>406</v>
      </c>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K51" s="15" t="str">
        <f t="shared" si="0"/>
        <v>Planning</v>
      </c>
    </row>
    <row r="52" spans="1:115" ht="36" x14ac:dyDescent="0.25">
      <c r="A52" s="27"/>
      <c r="B52" s="26"/>
      <c r="C52" s="3">
        <f t="shared" si="1"/>
        <v>48</v>
      </c>
      <c r="D52" s="2" t="s">
        <v>407</v>
      </c>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K52" s="15" t="str">
        <f t="shared" si="0"/>
        <v>Planning</v>
      </c>
    </row>
    <row r="53" spans="1:115" x14ac:dyDescent="0.25">
      <c r="D53" t="s">
        <v>408</v>
      </c>
      <c r="BA53">
        <v>5</v>
      </c>
      <c r="BB53">
        <v>5</v>
      </c>
      <c r="BF53">
        <v>4</v>
      </c>
      <c r="BK53">
        <v>5</v>
      </c>
      <c r="CV53">
        <v>4</v>
      </c>
      <c r="CW53">
        <v>4</v>
      </c>
    </row>
  </sheetData>
  <mergeCells count="21">
    <mergeCell ref="A32:A40"/>
    <mergeCell ref="B32:B35"/>
    <mergeCell ref="B36:B40"/>
    <mergeCell ref="A41:A52"/>
    <mergeCell ref="B41:B44"/>
    <mergeCell ref="B45:B49"/>
    <mergeCell ref="B50:B52"/>
    <mergeCell ref="A19:A22"/>
    <mergeCell ref="B19:B20"/>
    <mergeCell ref="B21:B22"/>
    <mergeCell ref="A23:A31"/>
    <mergeCell ref="B23:B25"/>
    <mergeCell ref="B26:B27"/>
    <mergeCell ref="B28:B29"/>
    <mergeCell ref="A16:A18"/>
    <mergeCell ref="B16:B18"/>
    <mergeCell ref="A5:A10"/>
    <mergeCell ref="B5:B7"/>
    <mergeCell ref="B8:B10"/>
    <mergeCell ref="A11:A15"/>
    <mergeCell ref="B12:B15"/>
  </mergeCells>
  <conditionalFormatting sqref="E5:DE52">
    <cfRule type="expression" dxfId="0" priority="1">
      <formula>AND(E$3&lt;&gt;"",E$3=$DK5)</formula>
    </cfRule>
  </conditionalFormatting>
  <dataValidations count="3">
    <dataValidation type="list" allowBlank="1" showInputMessage="1" showErrorMessage="1" sqref="E3:DE3" xr:uid="{1A91573A-8C5B-4038-9961-73400D829EAB}">
      <formula1>$DI$5:$DI$12</formula1>
    </dataValidation>
    <dataValidation type="whole" allowBlank="1" showInputMessage="1" showErrorMessage="1" sqref="F12:AB32 DK12:DK32 F5:DE11 AD12:DE32" xr:uid="{D5801A8B-405F-465D-88C8-8EF10C991DA1}">
      <formula1>0</formula1>
      <formula2>5</formula2>
    </dataValidation>
    <dataValidation type="whole" allowBlank="1" showInputMessage="1" showErrorMessage="1" errorTitle="Invalid score" error="Affinity score must be an integer between 0 and 5." sqref="E5:E52 F33:Y52" xr:uid="{7C2F9AB6-591C-447D-95CD-288A2A63FE90}">
      <formula1>0</formula1>
      <formula2>5</formula2>
    </dataValidation>
  </dataValidations>
  <hyperlinks>
    <hyperlink ref="D23" location="_ftn1" display="_ftn1" xr:uid="{A8277BAB-5A10-43D0-B55E-3FBAE1C1A9A3}"/>
  </hyperlink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Abstracts  - Janusz</vt:lpstr>
      <vt:lpstr>Evaluation Matrix - Janusz</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pablo gallegos</dc:creator>
  <cp:keywords/>
  <dc:description/>
  <cp:lastModifiedBy>Gallegos Garay, Pablo I</cp:lastModifiedBy>
  <cp:revision/>
  <dcterms:created xsi:type="dcterms:W3CDTF">2015-06-05T18:17:20Z</dcterms:created>
  <dcterms:modified xsi:type="dcterms:W3CDTF">2026-08-11T10:17:09Z</dcterms:modified>
  <cp:category/>
  <cp:contentStatus/>
</cp:coreProperties>
</file>