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imperiallondon-my.sharepoint.com/personal/pgallego_ic_ac_uk/Documents/PhD/Repositories/article-classifier/data/raw/"/>
    </mc:Choice>
  </mc:AlternateContent>
  <xr:revisionPtr revIDLastSave="746" documentId="13_ncr:1_{D96CB01A-BDCC-4B01-954D-26AFBAED4022}" xr6:coauthVersionLast="47" xr6:coauthVersionMax="47" xr10:uidLastSave="{A0AE2E54-7645-462E-9CB9-4BC3035095C8}"/>
  <bookViews>
    <workbookView xWindow="-120" yWindow="-120" windowWidth="29040" windowHeight="15720" firstSheet="1" activeTab="7" xr2:uid="{FD8CE54C-CEDB-4624-A1AE-98343A15A5F5}"/>
  </bookViews>
  <sheets>
    <sheet name="Template" sheetId="5" state="hidden" r:id="rId1"/>
    <sheet name="Batch 1" sheetId="27" r:id="rId2"/>
    <sheet name="Question context" sheetId="11" r:id="rId3"/>
    <sheet name="Rationale" sheetId="30" r:id="rId4"/>
    <sheet name="Rationale_clean" sheetId="33" r:id="rId5"/>
    <sheet name="Question Detail" sheetId="2" r:id="rId6"/>
    <sheet name="Abstracts List" sheetId="12" r:id="rId7"/>
    <sheet name="Calibration Dataset" sheetId="29" r:id="rId8"/>
    <sheet name="Accounting" sheetId="32" state="hidden" r:id="rId9"/>
    <sheet name="Calibration Dataset old" sheetId="31" state="hidden" r:id="rId10"/>
  </sheets>
  <definedNames>
    <definedName name="CROF">'Question Detail'!$H$57:$H$66</definedName>
    <definedName name="DER_CC">'Question Detail'!$H$46:$H$56</definedName>
    <definedName name="DER_System_Services">'Question Detail'!$H$31:$H$45</definedName>
    <definedName name="IBR">'Question Detail'!$H$2:$H$16</definedName>
    <definedName name="Planning">'Question Detail'!$H$80:$H$100</definedName>
    <definedName name="solver_adj" localSheetId="0" hidden="1">Template!$F$13:$F$14</definedName>
    <definedName name="solver_eng" localSheetId="0" hidden="1">0</definedName>
    <definedName name="solver_lhs1" localSheetId="0" hidden="1">Template!$F$13</definedName>
    <definedName name="solver_lhs2" localSheetId="0" hidden="1">Template!$F$14</definedName>
    <definedName name="solver_num" localSheetId="0" hidden="1">2</definedName>
    <definedName name="solver_opt" localSheetId="0" hidden="1">Template!$F$15</definedName>
    <definedName name="solver_rel1" localSheetId="0" hidden="1">3</definedName>
    <definedName name="solver_rel2" localSheetId="0" hidden="1">3</definedName>
    <definedName name="solver_rhs1" localSheetId="0" hidden="1">Template!$G$14</definedName>
    <definedName name="solver_rhs2" localSheetId="0" hidden="1">Template!$G$15</definedName>
    <definedName name="solver_rxc1" localSheetId="0" hidden="1">1</definedName>
    <definedName name="solver_rxc2" localSheetId="0" hidden="1">1</definedName>
    <definedName name="solver_rxv" localSheetId="0" hidden="1">1</definedName>
    <definedName name="solver_typ" localSheetId="0" hidden="1">2</definedName>
    <definedName name="solver_val" localSheetId="0" hidden="1">0</definedName>
    <definedName name="Stability">'Question Detail'!$H$17:$H$30</definedName>
    <definedName name="System_Services">'Question Detail'!$H$67:$H$79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3" l="1"/>
  <c r="B16" i="33"/>
  <c r="B10" i="33"/>
  <c r="C21" i="33"/>
  <c r="A21" i="33"/>
  <c r="B21" i="33" s="1"/>
  <c r="C20" i="33"/>
  <c r="A20" i="33"/>
  <c r="B20" i="33" s="1"/>
  <c r="C19" i="33"/>
  <c r="A19" i="33"/>
  <c r="B19" i="33" s="1"/>
  <c r="C18" i="33"/>
  <c r="A18" i="33"/>
  <c r="B18" i="33" s="1"/>
  <c r="C17" i="33"/>
  <c r="A17" i="33"/>
  <c r="C16" i="33"/>
  <c r="A16" i="33"/>
  <c r="C15" i="33"/>
  <c r="A15" i="33"/>
  <c r="B15" i="33" s="1"/>
  <c r="C14" i="33"/>
  <c r="A14" i="33"/>
  <c r="B14" i="33" s="1"/>
  <c r="C13" i="33"/>
  <c r="A13" i="33"/>
  <c r="B13" i="33" s="1"/>
  <c r="C12" i="33"/>
  <c r="A12" i="33"/>
  <c r="B12" i="33" s="1"/>
  <c r="C11" i="33"/>
  <c r="A11" i="33"/>
  <c r="B11" i="33" s="1"/>
  <c r="C10" i="33"/>
  <c r="A10" i="33"/>
  <c r="C9" i="33"/>
  <c r="A9" i="33"/>
  <c r="B9" i="33" s="1"/>
  <c r="C8" i="33"/>
  <c r="A8" i="33"/>
  <c r="B8" i="33" s="1"/>
  <c r="C7" i="33"/>
  <c r="A7" i="33"/>
  <c r="B7" i="33" s="1"/>
  <c r="C6" i="33"/>
  <c r="A6" i="33"/>
  <c r="B6" i="33" s="1"/>
  <c r="C5" i="33"/>
  <c r="A5" i="33"/>
  <c r="B5" i="33" s="1"/>
  <c r="C4" i="33"/>
  <c r="A4" i="33"/>
  <c r="B4" i="33" s="1"/>
  <c r="C3" i="33"/>
  <c r="A3" i="33"/>
  <c r="B3" i="33" s="1"/>
  <c r="C2" i="33"/>
  <c r="A2" i="33"/>
  <c r="B2" i="33" s="1"/>
  <c r="C20" i="30"/>
  <c r="I13" i="32"/>
  <c r="I14" i="32"/>
  <c r="I15" i="32" s="1"/>
  <c r="I38" i="32"/>
  <c r="I39" i="32" s="1"/>
  <c r="I40" i="32" s="1"/>
  <c r="I41" i="32" s="1"/>
  <c r="I42" i="32" s="1"/>
  <c r="I29" i="32"/>
  <c r="I30" i="32" s="1"/>
  <c r="I31" i="32" s="1"/>
  <c r="I32" i="32" s="1"/>
  <c r="I33" i="32" s="1"/>
  <c r="I34" i="32" s="1"/>
  <c r="I35" i="32" s="1"/>
  <c r="I36" i="32" s="1"/>
  <c r="I37" i="32" s="1"/>
  <c r="I20" i="32"/>
  <c r="I21" i="32" s="1"/>
  <c r="I22" i="32" s="1"/>
  <c r="I23" i="32" s="1"/>
  <c r="I24" i="32" s="1"/>
  <c r="I25" i="32" s="1"/>
  <c r="I26" i="32" s="1"/>
  <c r="I27" i="32" s="1"/>
  <c r="I28" i="32" s="1"/>
  <c r="I16" i="32"/>
  <c r="I17" i="32" s="1"/>
  <c r="I18" i="32" s="1"/>
  <c r="I19" i="32" s="1"/>
  <c r="I8" i="32"/>
  <c r="I9" i="32" s="1"/>
  <c r="I10" i="32" s="1"/>
  <c r="I11" i="32" s="1"/>
  <c r="I12" i="32" s="1"/>
  <c r="H5" i="32"/>
  <c r="H4" i="32"/>
  <c r="I3" i="32"/>
  <c r="I4" i="32" s="1"/>
  <c r="I5" i="32" s="1"/>
  <c r="I6" i="32" s="1"/>
  <c r="I7" i="32" s="1"/>
  <c r="H3" i="32"/>
  <c r="I2" i="32"/>
  <c r="H2" i="32"/>
  <c r="C22" i="32" a="1"/>
  <c r="C22" i="32" s="1"/>
  <c r="C21" i="32" a="1"/>
  <c r="C21" i="32" s="1"/>
  <c r="B21" i="32" a="1"/>
  <c r="B21" i="32" s="1"/>
  <c r="C20" i="32" a="1"/>
  <c r="C20" i="32" s="1"/>
  <c r="C19" i="32" a="1"/>
  <c r="C19" i="32" s="1"/>
  <c r="C18" i="32" a="1"/>
  <c r="C18" i="32" s="1"/>
  <c r="C17" i="32" a="1"/>
  <c r="C17" i="32" s="1"/>
  <c r="C16" i="32" a="1"/>
  <c r="C16" i="32" s="1"/>
  <c r="C15" i="32" a="1"/>
  <c r="C15" i="32" s="1"/>
  <c r="C14" i="32" a="1"/>
  <c r="C14" i="32" s="1"/>
  <c r="C13" i="32" a="1"/>
  <c r="C13" i="32" s="1"/>
  <c r="C12" i="32" a="1"/>
  <c r="C12" i="32" s="1"/>
  <c r="C11" i="32" a="1"/>
  <c r="C11" i="32" s="1"/>
  <c r="C10" i="32" a="1"/>
  <c r="C10" i="32" s="1"/>
  <c r="C9" i="32" a="1"/>
  <c r="C9" i="32" s="1"/>
  <c r="C8" i="32" a="1"/>
  <c r="C8" i="32" s="1"/>
  <c r="C7" i="32" a="1"/>
  <c r="C7" i="32" s="1"/>
  <c r="C6" i="32" a="1"/>
  <c r="C6" i="32" s="1"/>
  <c r="C5" i="32" a="1"/>
  <c r="C5" i="32" s="1"/>
  <c r="C4" i="32" a="1"/>
  <c r="C4" i="32" s="1"/>
  <c r="C3" i="32" a="1"/>
  <c r="C3" i="32" s="1"/>
  <c r="C2" i="32" a="1"/>
  <c r="C2" i="32" s="1"/>
  <c r="B128" i="29"/>
  <c r="B129" i="29"/>
  <c r="B130" i="29"/>
  <c r="B131" i="29"/>
  <c r="B121" i="29"/>
  <c r="B122" i="29"/>
  <c r="B123" i="29"/>
  <c r="B124" i="29"/>
  <c r="B125" i="29"/>
  <c r="B126" i="29"/>
  <c r="B127" i="29"/>
  <c r="B120" i="29"/>
  <c r="E88" i="29"/>
  <c r="E80" i="29"/>
  <c r="E79" i="29"/>
  <c r="E14" i="29"/>
  <c r="E13" i="29"/>
  <c r="B119" i="31"/>
  <c r="B118" i="31"/>
  <c r="B117" i="31"/>
  <c r="B116" i="31"/>
  <c r="B115" i="31"/>
  <c r="B114" i="31"/>
  <c r="B113" i="31"/>
  <c r="B112" i="31"/>
  <c r="B111" i="31"/>
  <c r="B110" i="31"/>
  <c r="B109" i="31"/>
  <c r="B108" i="31"/>
  <c r="B107" i="31"/>
  <c r="B106" i="31"/>
  <c r="B105" i="31"/>
  <c r="B104" i="31"/>
  <c r="B103" i="31"/>
  <c r="B102" i="31"/>
  <c r="B101" i="31"/>
  <c r="B100" i="31"/>
  <c r="B99" i="31"/>
  <c r="B98" i="31"/>
  <c r="B97" i="31"/>
  <c r="B96" i="31"/>
  <c r="B95" i="31"/>
  <c r="B94" i="31"/>
  <c r="B93" i="31"/>
  <c r="B92" i="31"/>
  <c r="B91" i="31"/>
  <c r="B90" i="31"/>
  <c r="B89" i="31"/>
  <c r="E88" i="31"/>
  <c r="F88" i="31" s="1"/>
  <c r="D88" i="31"/>
  <c r="B88" i="31"/>
  <c r="B87" i="31"/>
  <c r="B86" i="31"/>
  <c r="B85" i="31"/>
  <c r="B84" i="31"/>
  <c r="B83" i="31"/>
  <c r="B82" i="31"/>
  <c r="B81" i="31"/>
  <c r="E80" i="31"/>
  <c r="F80" i="31" s="1"/>
  <c r="D80" i="31"/>
  <c r="B80" i="31"/>
  <c r="E79" i="31"/>
  <c r="F79" i="31" s="1"/>
  <c r="D79" i="31"/>
  <c r="B79" i="31"/>
  <c r="B78" i="31"/>
  <c r="B77" i="31"/>
  <c r="B76" i="31"/>
  <c r="B75" i="31"/>
  <c r="B74" i="31"/>
  <c r="B73" i="31"/>
  <c r="B72" i="31"/>
  <c r="B71" i="31"/>
  <c r="B70" i="31"/>
  <c r="B69" i="31"/>
  <c r="B68" i="31"/>
  <c r="B67" i="31"/>
  <c r="B66" i="31"/>
  <c r="B65" i="31"/>
  <c r="B64" i="31"/>
  <c r="B63" i="31"/>
  <c r="B62" i="31"/>
  <c r="B61" i="31"/>
  <c r="B60" i="31"/>
  <c r="B59" i="31"/>
  <c r="B58" i="31"/>
  <c r="B57" i="31"/>
  <c r="B56" i="31"/>
  <c r="B55" i="31"/>
  <c r="B54" i="31"/>
  <c r="B53" i="31"/>
  <c r="B52" i="31"/>
  <c r="B51" i="31"/>
  <c r="B50" i="31"/>
  <c r="B49" i="31"/>
  <c r="B48" i="31"/>
  <c r="B47" i="31"/>
  <c r="B46" i="31"/>
  <c r="B45" i="31"/>
  <c r="B44" i="31"/>
  <c r="B43" i="31"/>
  <c r="B42" i="31"/>
  <c r="B41" i="31"/>
  <c r="B40" i="31"/>
  <c r="B39" i="31"/>
  <c r="B38" i="31"/>
  <c r="B37" i="31"/>
  <c r="B36" i="31"/>
  <c r="B35" i="31"/>
  <c r="B34" i="31"/>
  <c r="B33" i="31"/>
  <c r="B32" i="31"/>
  <c r="B31" i="31"/>
  <c r="B30" i="31"/>
  <c r="B29" i="31"/>
  <c r="B28" i="31"/>
  <c r="B27" i="31"/>
  <c r="B26" i="31"/>
  <c r="B25" i="31"/>
  <c r="B24" i="31"/>
  <c r="B23" i="31"/>
  <c r="B22" i="31"/>
  <c r="B21" i="31"/>
  <c r="B20" i="31"/>
  <c r="B19" i="31"/>
  <c r="B18" i="31"/>
  <c r="B17" i="31"/>
  <c r="B16" i="31"/>
  <c r="B15" i="31"/>
  <c r="E14" i="31"/>
  <c r="F14" i="31" s="1"/>
  <c r="D14" i="31"/>
  <c r="B14" i="31"/>
  <c r="E13" i="31"/>
  <c r="F13" i="31" s="1"/>
  <c r="D13" i="31"/>
  <c r="B13" i="31"/>
  <c r="B12" i="31"/>
  <c r="B11" i="31"/>
  <c r="B10" i="31"/>
  <c r="B9" i="31"/>
  <c r="B8" i="31"/>
  <c r="B7" i="31"/>
  <c r="B6" i="31"/>
  <c r="B5" i="31"/>
  <c r="B4" i="31"/>
  <c r="B3" i="31"/>
  <c r="B2" i="31"/>
  <c r="C21" i="30"/>
  <c r="C19" i="30"/>
  <c r="C18" i="30"/>
  <c r="C17" i="30"/>
  <c r="C16" i="30"/>
  <c r="C15" i="30"/>
  <c r="C14" i="30"/>
  <c r="C13" i="30"/>
  <c r="C12" i="30"/>
  <c r="C11" i="30"/>
  <c r="C10" i="30"/>
  <c r="C9" i="30"/>
  <c r="C8" i="30"/>
  <c r="C7" i="30"/>
  <c r="C6" i="30"/>
  <c r="C5" i="30"/>
  <c r="C4" i="30"/>
  <c r="C3" i="30"/>
  <c r="C2" i="30"/>
  <c r="G14" i="30" a="1"/>
  <c r="G14" i="30" s="1"/>
  <c r="D14" i="33" s="1"/>
  <c r="G13" i="30" a="1"/>
  <c r="G13" i="30" s="1"/>
  <c r="D13" i="33" s="1"/>
  <c r="G5" i="30" a="1"/>
  <c r="G5" i="30" s="1"/>
  <c r="D5" i="33" s="1"/>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F79" i="29"/>
  <c r="D79"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F13" i="29"/>
  <c r="D13" i="29"/>
  <c r="B13" i="29"/>
  <c r="B12" i="29"/>
  <c r="B11" i="29"/>
  <c r="B10" i="29"/>
  <c r="B9" i="29"/>
  <c r="B8" i="29"/>
  <c r="B7" i="29"/>
  <c r="B6" i="29"/>
  <c r="B5" i="29"/>
  <c r="B4" i="29"/>
  <c r="B3" i="29"/>
  <c r="B2" i="29"/>
  <c r="B543" i="27"/>
  <c r="B542" i="27"/>
  <c r="B22" i="32" s="1" a="1"/>
  <c r="B22" i="32" s="1"/>
  <c r="B541" i="27"/>
  <c r="A22" i="32" s="1" a="1"/>
  <c r="A22" i="32" s="1"/>
  <c r="D22" i="32" s="1"/>
  <c r="E22" i="32" s="1"/>
  <c r="B516" i="27"/>
  <c r="B515" i="27"/>
  <c r="B514" i="27"/>
  <c r="A21" i="32" s="1" a="1"/>
  <c r="A21" i="32" s="1"/>
  <c r="D21" i="32" s="1"/>
  <c r="B489" i="27"/>
  <c r="B488" i="27"/>
  <c r="B20" i="32" s="1" a="1"/>
  <c r="B20" i="32" s="1"/>
  <c r="B487" i="27"/>
  <c r="A20" i="32" s="1" a="1"/>
  <c r="A20" i="32" s="1"/>
  <c r="D20" i="32" s="1"/>
  <c r="E20" i="32" s="1"/>
  <c r="B462" i="27"/>
  <c r="B461" i="27"/>
  <c r="B19" i="32" s="1" a="1"/>
  <c r="B19" i="32" s="1"/>
  <c r="B460" i="27"/>
  <c r="A19" i="32" s="1" a="1"/>
  <c r="A19" i="32" s="1"/>
  <c r="B435" i="27"/>
  <c r="B434" i="27"/>
  <c r="B18" i="32" s="1" a="1"/>
  <c r="B18" i="32" s="1"/>
  <c r="B433" i="27"/>
  <c r="A18" i="32" s="1" a="1"/>
  <c r="A18" i="32" s="1"/>
  <c r="D18" i="32" s="1"/>
  <c r="E18" i="32" s="1"/>
  <c r="B408" i="27"/>
  <c r="B407" i="27"/>
  <c r="B17" i="32" s="1" a="1"/>
  <c r="B17" i="32" s="1"/>
  <c r="B406" i="27"/>
  <c r="A17" i="32" s="1" a="1"/>
  <c r="A17" i="32" s="1"/>
  <c r="D17" i="32" s="1"/>
  <c r="E17" i="32" s="1"/>
  <c r="B381" i="27"/>
  <c r="B380" i="27"/>
  <c r="B16" i="32" s="1" a="1"/>
  <c r="B16" i="32" s="1"/>
  <c r="B379" i="27"/>
  <c r="A16" i="32" s="1" a="1"/>
  <c r="A16" i="32" s="1"/>
  <c r="B354" i="27"/>
  <c r="B353" i="27"/>
  <c r="B15" i="32" s="1" a="1"/>
  <c r="B15" i="32" s="1"/>
  <c r="B352" i="27"/>
  <c r="A15" i="32" s="1" a="1"/>
  <c r="A15" i="32" s="1"/>
  <c r="B327" i="27"/>
  <c r="B326" i="27"/>
  <c r="B14" i="32" s="1" a="1"/>
  <c r="B14" i="32" s="1"/>
  <c r="B325" i="27"/>
  <c r="A14" i="32" s="1" a="1"/>
  <c r="A14" i="32" s="1"/>
  <c r="D14" i="32" s="1"/>
  <c r="B300" i="27"/>
  <c r="B299" i="27"/>
  <c r="B13" i="32" s="1" a="1"/>
  <c r="B13" i="32" s="1"/>
  <c r="B298" i="27"/>
  <c r="A13" i="32" s="1" a="1"/>
  <c r="A13" i="32" s="1"/>
  <c r="D13" i="32" s="1"/>
  <c r="E13" i="32" s="1"/>
  <c r="B273" i="27"/>
  <c r="B272" i="27"/>
  <c r="B12" i="32" s="1" a="1"/>
  <c r="B12" i="32" s="1"/>
  <c r="B271" i="27"/>
  <c r="A12" i="32" s="1" a="1"/>
  <c r="A12" i="32" s="1"/>
  <c r="B246" i="27"/>
  <c r="B245" i="27"/>
  <c r="B11" i="32" s="1" a="1"/>
  <c r="B11" i="32" s="1"/>
  <c r="B244" i="27"/>
  <c r="A11" i="32" s="1" a="1"/>
  <c r="A11" i="32" s="1"/>
  <c r="B219" i="27"/>
  <c r="B218" i="27"/>
  <c r="B10" i="32" s="1" a="1"/>
  <c r="B10" i="32" s="1"/>
  <c r="B217" i="27"/>
  <c r="A10" i="32" s="1" a="1"/>
  <c r="A10" i="32" s="1"/>
  <c r="D10" i="32" s="1"/>
  <c r="E10" i="32" s="1"/>
  <c r="B192" i="27"/>
  <c r="B191" i="27"/>
  <c r="B9" i="32" s="1" a="1"/>
  <c r="B9" i="32" s="1"/>
  <c r="B190" i="27"/>
  <c r="A9" i="32" s="1" a="1"/>
  <c r="A9" i="32" s="1"/>
  <c r="D9" i="32" s="1"/>
  <c r="E9" i="32" s="1"/>
  <c r="B165" i="27"/>
  <c r="B164" i="27"/>
  <c r="B8" i="32" s="1" a="1"/>
  <c r="B8" i="32" s="1"/>
  <c r="B163" i="27"/>
  <c r="A8" i="32" s="1" a="1"/>
  <c r="A8" i="32" s="1"/>
  <c r="D8" i="32" s="1"/>
  <c r="E8" i="32" s="1"/>
  <c r="B138" i="27"/>
  <c r="B137" i="27"/>
  <c r="B7" i="32" s="1" a="1"/>
  <c r="B7" i="32" s="1"/>
  <c r="B136" i="27"/>
  <c r="A7" i="32" s="1" a="1"/>
  <c r="A7" i="32" s="1"/>
  <c r="B111" i="27"/>
  <c r="B110" i="27"/>
  <c r="B6" i="32" s="1" a="1"/>
  <c r="B6" i="32" s="1"/>
  <c r="B109" i="27"/>
  <c r="A6" i="32" s="1" a="1"/>
  <c r="A6" i="32" s="1"/>
  <c r="D6" i="32" s="1"/>
  <c r="B84" i="27"/>
  <c r="B83" i="27"/>
  <c r="B5" i="32" s="1" a="1"/>
  <c r="B5" i="32" s="1"/>
  <c r="B82" i="27"/>
  <c r="A5" i="32" s="1" a="1"/>
  <c r="A5" i="32" s="1"/>
  <c r="D5" i="32" s="1"/>
  <c r="B57" i="27"/>
  <c r="B56" i="27"/>
  <c r="B4" i="32" s="1" a="1"/>
  <c r="B4" i="32" s="1"/>
  <c r="B55" i="27"/>
  <c r="A4" i="32" s="1" a="1"/>
  <c r="A4" i="32" s="1"/>
  <c r="D4" i="32" s="1"/>
  <c r="E4" i="32" s="1"/>
  <c r="B30" i="27"/>
  <c r="B29" i="27"/>
  <c r="B3" i="32" s="1" a="1"/>
  <c r="B3" i="32" s="1"/>
  <c r="B28" i="27"/>
  <c r="A3" i="32" s="1" a="1"/>
  <c r="A3" i="32" s="1"/>
  <c r="B3" i="27"/>
  <c r="B2" i="27"/>
  <c r="B2" i="32" s="1" a="1"/>
  <c r="B2" i="32" s="1"/>
  <c r="B1" i="27"/>
  <c r="A2" i="32" s="1" a="1"/>
  <c r="A2" i="32" s="1"/>
  <c r="B329" i="27" a="1"/>
  <c r="B194" i="27" a="1"/>
  <c r="B437" i="27" a="1"/>
  <c r="B383" i="27" a="1"/>
  <c r="B356" i="27" a="1"/>
  <c r="B275" i="27" a="1"/>
  <c r="B167" i="27" a="1"/>
  <c r="B410" i="27" a="1"/>
  <c r="B518" i="27" a="1"/>
  <c r="B491" i="27" a="1"/>
  <c r="B86" i="27" a="1"/>
  <c r="B302" i="27" a="1"/>
  <c r="B248" i="27" a="1"/>
  <c r="B32" i="27" a="1"/>
  <c r="B113" i="27" a="1"/>
  <c r="B59" i="27" a="1"/>
  <c r="B221" i="27" a="1"/>
  <c r="B140" i="27" a="1"/>
  <c r="B545" i="27" a="1"/>
  <c r="B464" i="27" a="1"/>
  <c r="G2" i="32" l="1"/>
  <c r="D2" i="32"/>
  <c r="E2" i="32" s="1"/>
  <c r="D3" i="32"/>
  <c r="E3" i="32" s="1"/>
  <c r="G3" i="32"/>
  <c r="E5" i="32"/>
  <c r="F5" i="32"/>
  <c r="E6" i="32"/>
  <c r="F6" i="32"/>
  <c r="D7" i="32"/>
  <c r="E7" i="32" s="1"/>
  <c r="G7" i="32"/>
  <c r="D11" i="32"/>
  <c r="E11" i="32" s="1"/>
  <c r="G11" i="32"/>
  <c r="D12" i="32"/>
  <c r="G12" i="32"/>
  <c r="E14" i="32"/>
  <c r="F14" i="32"/>
  <c r="D15" i="32"/>
  <c r="E15" i="32" s="1"/>
  <c r="G15" i="32"/>
  <c r="D16" i="32"/>
  <c r="E16" i="32" s="1"/>
  <c r="G16" i="32"/>
  <c r="D19" i="32"/>
  <c r="G19" i="32"/>
  <c r="E21" i="32"/>
  <c r="F21" i="32"/>
  <c r="F10" i="32"/>
  <c r="F2" i="32"/>
  <c r="F3" i="32"/>
  <c r="F22" i="32"/>
  <c r="G13" i="32"/>
  <c r="F4" i="32"/>
  <c r="G14" i="32"/>
  <c r="G4" i="32"/>
  <c r="F7" i="32"/>
  <c r="G5" i="32"/>
  <c r="G17" i="32"/>
  <c r="F9" i="32"/>
  <c r="G6" i="32"/>
  <c r="G18" i="32"/>
  <c r="F17" i="32"/>
  <c r="G9" i="32"/>
  <c r="G21" i="32"/>
  <c r="G8" i="32"/>
  <c r="G20" i="32"/>
  <c r="F18" i="32"/>
  <c r="G10" i="32"/>
  <c r="G22" i="32"/>
  <c r="F20" i="32"/>
  <c r="F8" i="32"/>
  <c r="F13" i="32"/>
  <c r="I43" i="32"/>
  <c r="B545" i="27"/>
  <c r="B518" i="27"/>
  <c r="B491" i="27"/>
  <c r="B464" i="27"/>
  <c r="B437" i="27"/>
  <c r="B410" i="27"/>
  <c r="B383" i="27"/>
  <c r="B356" i="27"/>
  <c r="B329" i="27"/>
  <c r="B302" i="27"/>
  <c r="B275" i="27"/>
  <c r="B248" i="27"/>
  <c r="B221" i="27"/>
  <c r="B194" i="27"/>
  <c r="B167" i="27"/>
  <c r="B140" i="27"/>
  <c r="B113" i="27"/>
  <c r="B86" i="27"/>
  <c r="B59" i="27"/>
  <c r="B32" i="27"/>
  <c r="H2"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B5" i="27" a="1"/>
  <c r="B5" i="5" a="1"/>
  <c r="F16" i="32" l="1"/>
  <c r="G30" i="32"/>
  <c r="F11" i="32"/>
  <c r="G33" i="32"/>
  <c r="G29" i="32"/>
  <c r="E19" i="32"/>
  <c r="F19" i="32"/>
  <c r="E12" i="32"/>
  <c r="F12" i="32"/>
  <c r="F28" i="32" s="1"/>
  <c r="G26" i="32"/>
  <c r="G27" i="32"/>
  <c r="G28" i="32"/>
  <c r="G32" i="32"/>
  <c r="G31" i="32"/>
  <c r="I44" i="32"/>
  <c r="I45" i="32" s="1"/>
  <c r="I46" i="32" s="1"/>
  <c r="I47" i="32" s="1"/>
  <c r="I48" i="32" s="1"/>
  <c r="I49" i="32" s="1"/>
  <c r="F15" i="32"/>
  <c r="C6" i="11"/>
  <c r="D88" i="29"/>
  <c r="D80" i="29"/>
  <c r="D14" i="29"/>
  <c r="F88" i="29"/>
  <c r="F80" i="29"/>
  <c r="F14" i="29"/>
  <c r="B5" i="27"/>
  <c r="B5" i="5"/>
  <c r="C7" i="11" l="1"/>
  <c r="H6" i="32"/>
  <c r="F32" i="32"/>
  <c r="F33" i="32"/>
  <c r="F29" i="32"/>
  <c r="F30" i="32"/>
  <c r="F31" i="32"/>
  <c r="F27" i="32"/>
  <c r="F26" i="32"/>
  <c r="C8" i="11" l="1"/>
  <c r="H7" i="32"/>
  <c r="D41" i="29"/>
  <c r="C9" i="11" l="1"/>
  <c r="H8" i="32"/>
  <c r="D21" i="31"/>
  <c r="E15" i="29"/>
  <c r="F15" i="29" s="1"/>
  <c r="E15" i="31"/>
  <c r="F15" i="31" s="1"/>
  <c r="E21" i="31"/>
  <c r="F21" i="31" s="1"/>
  <c r="E21" i="29"/>
  <c r="F21" i="29" s="1"/>
  <c r="D41" i="31"/>
  <c r="D15" i="31"/>
  <c r="E41" i="29"/>
  <c r="F41" i="29" s="1"/>
  <c r="E41" i="31"/>
  <c r="F41" i="31" s="1"/>
  <c r="D15" i="29"/>
  <c r="D21" i="29"/>
  <c r="C10" i="11" l="1"/>
  <c r="D42" i="29" s="1"/>
  <c r="H9" i="32"/>
  <c r="C11" i="11" l="1"/>
  <c r="H10" i="32"/>
  <c r="D89" i="31"/>
  <c r="E42" i="31"/>
  <c r="F42" i="31" s="1"/>
  <c r="E16" i="29"/>
  <c r="F16" i="29" s="1"/>
  <c r="D16" i="31"/>
  <c r="D22" i="31"/>
  <c r="E89" i="29"/>
  <c r="F89" i="29" s="1"/>
  <c r="E16" i="31"/>
  <c r="F16" i="31" s="1"/>
  <c r="G18" i="30" a="1"/>
  <c r="G18" i="30" s="1"/>
  <c r="D18" i="33" s="1"/>
  <c r="E22" i="29"/>
  <c r="F22" i="29" s="1"/>
  <c r="D22" i="29"/>
  <c r="E42" i="29"/>
  <c r="F42" i="29" s="1"/>
  <c r="E89" i="31"/>
  <c r="F89" i="31" s="1"/>
  <c r="D90" i="31"/>
  <c r="D42" i="31"/>
  <c r="E22" i="31"/>
  <c r="F22" i="31" s="1"/>
  <c r="D89" i="29"/>
  <c r="D16" i="29"/>
  <c r="E90" i="31" l="1"/>
  <c r="F90" i="31" s="1"/>
  <c r="C12" i="11"/>
  <c r="H11" i="32"/>
  <c r="D90" i="29"/>
  <c r="E90" i="29"/>
  <c r="F90" i="29" s="1"/>
  <c r="C13" i="11" l="1"/>
  <c r="H12" i="32"/>
  <c r="E27" i="29"/>
  <c r="F27" i="29" s="1"/>
  <c r="E70" i="29"/>
  <c r="F70" i="29" s="1"/>
  <c r="E43" i="31"/>
  <c r="F43" i="31" s="1"/>
  <c r="D43" i="29"/>
  <c r="E43" i="29"/>
  <c r="F43" i="29" s="1"/>
  <c r="D70" i="31"/>
  <c r="D70" i="29"/>
  <c r="D43" i="31"/>
  <c r="C14" i="11" l="1"/>
  <c r="H13" i="32"/>
  <c r="D109" i="31"/>
  <c r="E95" i="29"/>
  <c r="F95" i="29" s="1"/>
  <c r="D94" i="29"/>
  <c r="E104" i="29"/>
  <c r="F104" i="29" s="1"/>
  <c r="D110" i="29"/>
  <c r="D49" i="31"/>
  <c r="G6" i="30" a="1"/>
  <c r="G6" i="30" s="1"/>
  <c r="D6" i="33" s="1"/>
  <c r="D71" i="29"/>
  <c r="G8" i="30" a="1"/>
  <c r="G8" i="30" s="1"/>
  <c r="D8" i="33" s="1"/>
  <c r="E49" i="31"/>
  <c r="F49" i="31" s="1"/>
  <c r="E94" i="31"/>
  <c r="F94" i="31" s="1"/>
  <c r="G2" i="30" a="1"/>
  <c r="G2" i="30" s="1"/>
  <c r="D2" i="33" s="1"/>
  <c r="E95" i="31"/>
  <c r="F95" i="31" s="1"/>
  <c r="D95" i="29"/>
  <c r="E109" i="29"/>
  <c r="F109" i="29" s="1"/>
  <c r="D50" i="31"/>
  <c r="D104" i="31"/>
  <c r="D50" i="29"/>
  <c r="E28" i="31"/>
  <c r="F28" i="31" s="1"/>
  <c r="E27" i="31"/>
  <c r="F27" i="31" s="1"/>
  <c r="D109" i="29"/>
  <c r="E49" i="29"/>
  <c r="F49" i="29" s="1"/>
  <c r="D27" i="29"/>
  <c r="G3" i="30" a="1"/>
  <c r="G3" i="30" s="1"/>
  <c r="D3" i="33" s="1"/>
  <c r="E50" i="29"/>
  <c r="F50" i="29" s="1"/>
  <c r="C15" i="11" l="1"/>
  <c r="H14" i="32"/>
  <c r="C16" i="11" l="1"/>
  <c r="D112" i="29" s="1"/>
  <c r="H15" i="32"/>
  <c r="C17" i="11" l="1"/>
  <c r="H16" i="32"/>
  <c r="C18" i="11" l="1"/>
  <c r="H17" i="32"/>
  <c r="C19" i="11" l="1"/>
  <c r="H18" i="32"/>
  <c r="C20" i="11" l="1"/>
  <c r="H19" i="32"/>
  <c r="C21" i="11" l="1"/>
  <c r="H20" i="32"/>
  <c r="C22" i="11" l="1"/>
  <c r="H21" i="32"/>
  <c r="C23" i="11" l="1"/>
  <c r="H22" i="32"/>
  <c r="C24" i="11" l="1"/>
  <c r="H23" i="32"/>
  <c r="C25" i="11" l="1"/>
  <c r="H24" i="32"/>
  <c r="C26" i="11" l="1"/>
  <c r="H25" i="32"/>
  <c r="C27" i="11" l="1"/>
  <c r="H26" i="32"/>
  <c r="C28" i="11" l="1"/>
  <c r="H27" i="32"/>
  <c r="C29" i="11" l="1"/>
  <c r="H28" i="32"/>
  <c r="C30" i="11" l="1"/>
  <c r="H29" i="32"/>
  <c r="C31" i="11" l="1"/>
  <c r="H30" i="32"/>
  <c r="C32" i="11" l="1"/>
  <c r="H31" i="32"/>
  <c r="C33" i="11" l="1"/>
  <c r="H32" i="32"/>
  <c r="C34" i="11" l="1"/>
  <c r="H33" i="32"/>
  <c r="C35" i="11" l="1"/>
  <c r="H34" i="32"/>
  <c r="C36" i="11" l="1"/>
  <c r="H35" i="32"/>
  <c r="C37" i="11" l="1"/>
  <c r="H36" i="32"/>
  <c r="C38" i="11" l="1"/>
  <c r="H37" i="32"/>
  <c r="C39" i="11" l="1"/>
  <c r="H38" i="32"/>
  <c r="C40" i="11" l="1"/>
  <c r="H39" i="32"/>
  <c r="C41" i="11" l="1"/>
  <c r="H40" i="32"/>
  <c r="C42" i="11" l="1"/>
  <c r="H41" i="32"/>
  <c r="C43" i="11" l="1"/>
  <c r="H42" i="32"/>
  <c r="C44" i="11" l="1"/>
  <c r="H43" i="32"/>
  <c r="C45" i="11" l="1"/>
  <c r="H44" i="32"/>
  <c r="C46" i="11" l="1"/>
  <c r="H45" i="32"/>
  <c r="C47" i="11" l="1"/>
  <c r="H46" i="32"/>
  <c r="C48" i="11" l="1"/>
  <c r="H47" i="32"/>
  <c r="C49" i="11" l="1"/>
  <c r="H48" i="32"/>
  <c r="H49" i="32" l="1"/>
  <c r="D77" i="29"/>
  <c r="E48" i="31"/>
  <c r="F48" i="31" s="1"/>
  <c r="E104" i="31"/>
  <c r="F104" i="31" s="1"/>
  <c r="E108" i="31"/>
  <c r="F108" i="31" s="1"/>
  <c r="D46" i="29"/>
  <c r="E98" i="29"/>
  <c r="F98" i="29" s="1"/>
  <c r="E93" i="31"/>
  <c r="F93" i="31" s="1"/>
  <c r="D105" i="29"/>
  <c r="D56" i="29"/>
  <c r="E2" i="31"/>
  <c r="F2" i="31" s="1"/>
  <c r="D93" i="29"/>
  <c r="D33" i="31"/>
  <c r="E51" i="31"/>
  <c r="F51" i="31" s="1"/>
  <c r="D20" i="29"/>
  <c r="D29" i="29"/>
  <c r="D38" i="31"/>
  <c r="D19" i="29"/>
  <c r="D4" i="31"/>
  <c r="E110" i="29"/>
  <c r="F110" i="29" s="1"/>
  <c r="E93" i="29"/>
  <c r="F93" i="29" s="1"/>
  <c r="D120" i="29"/>
  <c r="E60" i="29"/>
  <c r="F60" i="29" s="1"/>
  <c r="E52" i="31"/>
  <c r="F52" i="31" s="1"/>
  <c r="D83" i="31"/>
  <c r="D53" i="31"/>
  <c r="D23" i="31"/>
  <c r="E4" i="31"/>
  <c r="F4" i="31" s="1"/>
  <c r="E47" i="29"/>
  <c r="F47" i="29" s="1"/>
  <c r="D104" i="29"/>
  <c r="E62" i="29"/>
  <c r="F62" i="29" s="1"/>
  <c r="D68" i="31"/>
  <c r="E111" i="29"/>
  <c r="F111" i="29" s="1"/>
  <c r="D81" i="31"/>
  <c r="E9" i="31"/>
  <c r="F9" i="31" s="1"/>
  <c r="D87" i="29"/>
  <c r="E3" i="31"/>
  <c r="F3" i="31" s="1"/>
  <c r="D122" i="29"/>
  <c r="E112" i="29"/>
  <c r="F112" i="29" s="1"/>
  <c r="E60" i="31"/>
  <c r="F60" i="31" s="1"/>
  <c r="D37" i="29"/>
  <c r="E87" i="31"/>
  <c r="F87" i="31" s="1"/>
  <c r="D97" i="29"/>
  <c r="D35" i="29"/>
  <c r="E74" i="29"/>
  <c r="F74" i="29" s="1"/>
  <c r="E70" i="31"/>
  <c r="F70" i="31" s="1"/>
  <c r="D47" i="31"/>
  <c r="G4" i="30" a="1"/>
  <c r="G4" i="30" s="1"/>
  <c r="D4" i="33" s="1"/>
  <c r="D110" i="31"/>
  <c r="D127" i="29"/>
  <c r="E10" i="31"/>
  <c r="F10" i="31" s="1"/>
  <c r="D86" i="29"/>
  <c r="E50" i="31"/>
  <c r="F50" i="31" s="1"/>
  <c r="E47" i="31"/>
  <c r="F47" i="31" s="1"/>
  <c r="E38" i="31"/>
  <c r="F38" i="31" s="1"/>
  <c r="E40" i="29"/>
  <c r="F40" i="29" s="1"/>
  <c r="E12" i="29"/>
  <c r="F12" i="29" s="1"/>
  <c r="D67" i="31"/>
  <c r="E110" i="31"/>
  <c r="F110" i="31" s="1"/>
  <c r="G16" i="30" a="1"/>
  <c r="G16" i="30" s="1"/>
  <c r="D16" i="33" s="1"/>
  <c r="D59" i="29"/>
  <c r="D48" i="31"/>
  <c r="D117" i="29"/>
  <c r="E36" i="29"/>
  <c r="F36" i="29" s="1"/>
  <c r="E75" i="29"/>
  <c r="F75" i="29" s="1"/>
  <c r="D82" i="29"/>
  <c r="D76" i="29"/>
  <c r="E101" i="31"/>
  <c r="F101" i="31" s="1"/>
  <c r="D69" i="31"/>
  <c r="E65" i="31"/>
  <c r="F65" i="31" s="1"/>
  <c r="D57" i="31"/>
  <c r="D7" i="31"/>
  <c r="D58" i="29"/>
  <c r="D26" i="31"/>
  <c r="E6" i="31"/>
  <c r="F6" i="31" s="1"/>
  <c r="E61" i="29"/>
  <c r="F61" i="29" s="1"/>
  <c r="D117" i="31"/>
  <c r="E57" i="29"/>
  <c r="F57" i="29" s="1"/>
  <c r="E66" i="29"/>
  <c r="F66" i="29" s="1"/>
  <c r="D81" i="29"/>
  <c r="D101" i="29"/>
  <c r="D63" i="29"/>
  <c r="D28" i="29"/>
  <c r="E59" i="29"/>
  <c r="F59" i="29" s="1"/>
  <c r="D123" i="29"/>
  <c r="E9" i="29"/>
  <c r="F9" i="29" s="1"/>
  <c r="E10" i="29"/>
  <c r="F10" i="29" s="1"/>
  <c r="E61" i="31"/>
  <c r="F61" i="31" s="1"/>
  <c r="E106" i="29"/>
  <c r="F106" i="29" s="1"/>
  <c r="E85" i="29"/>
  <c r="F85" i="29" s="1"/>
  <c r="E18" i="31"/>
  <c r="F18" i="31" s="1"/>
  <c r="E20" i="31"/>
  <c r="F20" i="31" s="1"/>
  <c r="D91" i="31"/>
  <c r="D125" i="29"/>
  <c r="E73" i="29"/>
  <c r="F73" i="29" s="1"/>
  <c r="D128" i="29"/>
  <c r="E86" i="29"/>
  <c r="F86" i="29" s="1"/>
  <c r="E34" i="29"/>
  <c r="F34" i="29" s="1"/>
  <c r="D108" i="31"/>
  <c r="E71" i="29"/>
  <c r="F71" i="29" s="1"/>
  <c r="D61" i="31"/>
  <c r="E26" i="29"/>
  <c r="F26" i="29" s="1"/>
  <c r="E63" i="29"/>
  <c r="F63" i="29" s="1"/>
  <c r="D25" i="31"/>
  <c r="D29" i="31"/>
  <c r="D31" i="31"/>
  <c r="E99" i="29"/>
  <c r="F99" i="29" s="1"/>
  <c r="D114" i="31"/>
  <c r="E109" i="31"/>
  <c r="F109" i="31" s="1"/>
  <c r="E119" i="29"/>
  <c r="F119" i="29" s="1"/>
  <c r="E100" i="31"/>
  <c r="F100" i="31" s="1"/>
  <c r="D39" i="31"/>
  <c r="D114" i="29"/>
  <c r="E78" i="31"/>
  <c r="F78" i="31" s="1"/>
  <c r="D28" i="31"/>
  <c r="E103" i="29"/>
  <c r="F103" i="29" s="1"/>
  <c r="E26" i="31"/>
  <c r="F26" i="31" s="1"/>
  <c r="E114" i="31"/>
  <c r="F114" i="31" s="1"/>
  <c r="E28" i="29"/>
  <c r="F28" i="29" s="1"/>
  <c r="E44" i="29"/>
  <c r="F44" i="29" s="1"/>
  <c r="G19" i="30" a="1"/>
  <c r="G19" i="30" s="1"/>
  <c r="D19" i="33" s="1"/>
  <c r="E54" i="31"/>
  <c r="F54" i="31" s="1"/>
  <c r="D74" i="31"/>
  <c r="D12" i="31"/>
  <c r="E112" i="31"/>
  <c r="F112" i="31" s="1"/>
  <c r="D55" i="31"/>
  <c r="E83" i="29"/>
  <c r="F83" i="29" s="1"/>
  <c r="E5" i="31"/>
  <c r="F5" i="31" s="1"/>
  <c r="E44" i="31"/>
  <c r="F44" i="31" s="1"/>
  <c r="D100" i="31"/>
  <c r="E118" i="29"/>
  <c r="F118" i="29" s="1"/>
  <c r="E76" i="29"/>
  <c r="F76" i="29" s="1"/>
  <c r="G9" i="30" a="1"/>
  <c r="G9" i="30" s="1"/>
  <c r="D9" i="33" s="1"/>
  <c r="D10" i="31"/>
  <c r="E81" i="29"/>
  <c r="F81" i="29" s="1"/>
  <c r="E85" i="31"/>
  <c r="F85" i="31" s="1"/>
  <c r="E72" i="29"/>
  <c r="F72" i="29" s="1"/>
  <c r="D74" i="29"/>
  <c r="D30" i="31"/>
  <c r="E114" i="29"/>
  <c r="F114" i="29" s="1"/>
  <c r="E8" i="29"/>
  <c r="F8" i="29" s="1"/>
  <c r="D34" i="29"/>
  <c r="E111" i="31"/>
  <c r="F111" i="31" s="1"/>
  <c r="E45" i="31"/>
  <c r="F45" i="31" s="1"/>
  <c r="E96" i="29"/>
  <c r="F96" i="29" s="1"/>
  <c r="E86" i="31"/>
  <c r="F86" i="31" s="1"/>
  <c r="E64" i="31"/>
  <c r="F64" i="31" s="1"/>
  <c r="E39" i="29"/>
  <c r="F39" i="29" s="1"/>
  <c r="E71" i="31"/>
  <c r="F71" i="31" s="1"/>
  <c r="E94" i="29"/>
  <c r="F94" i="29" s="1"/>
  <c r="D17" i="29"/>
  <c r="D49" i="29"/>
  <c r="D19" i="31"/>
  <c r="E65" i="29"/>
  <c r="F65" i="29" s="1"/>
  <c r="D52" i="31"/>
  <c r="D27" i="31"/>
  <c r="E117" i="29"/>
  <c r="F117" i="29" s="1"/>
  <c r="E83" i="31"/>
  <c r="F83" i="31" s="1"/>
  <c r="E69" i="29"/>
  <c r="F69" i="29" s="1"/>
  <c r="E31" i="31"/>
  <c r="F31" i="31" s="1"/>
  <c r="D40" i="31"/>
  <c r="D101" i="31"/>
  <c r="D86" i="31"/>
  <c r="E74" i="31"/>
  <c r="F74" i="31" s="1"/>
  <c r="E59" i="31"/>
  <c r="F59" i="31" s="1"/>
  <c r="D69" i="29"/>
  <c r="E33" i="31"/>
  <c r="F33" i="31" s="1"/>
  <c r="D87" i="31"/>
  <c r="E7" i="31"/>
  <c r="F7" i="31" s="1"/>
  <c r="D115" i="31"/>
  <c r="E77" i="29"/>
  <c r="F77" i="29" s="1"/>
  <c r="E98" i="31"/>
  <c r="F98" i="31" s="1"/>
  <c r="G11" i="30" a="1"/>
  <c r="G11" i="30" s="1"/>
  <c r="D11" i="33" s="1"/>
  <c r="D113" i="31"/>
  <c r="E33" i="29"/>
  <c r="F33" i="29" s="1"/>
  <c r="E87" i="29"/>
  <c r="F87" i="29" s="1"/>
  <c r="E76" i="31"/>
  <c r="F76" i="31" s="1"/>
  <c r="E30" i="31"/>
  <c r="F30" i="31" s="1"/>
  <c r="D59" i="31"/>
  <c r="D31" i="29"/>
  <c r="D68" i="29"/>
  <c r="E40" i="31"/>
  <c r="F40" i="31" s="1"/>
  <c r="E66" i="31"/>
  <c r="F66" i="31" s="1"/>
  <c r="D64" i="31"/>
  <c r="D47" i="29"/>
  <c r="D103" i="29"/>
  <c r="D45" i="31"/>
  <c r="E100" i="29"/>
  <c r="F100" i="29" s="1"/>
  <c r="E53" i="31"/>
  <c r="F53" i="31" s="1"/>
  <c r="D76" i="31"/>
  <c r="E108" i="29"/>
  <c r="F108" i="29" s="1"/>
  <c r="E56" i="29"/>
  <c r="F56" i="29" s="1"/>
  <c r="E7" i="29"/>
  <c r="F7" i="29" s="1"/>
  <c r="E96" i="31"/>
  <c r="F96" i="31" s="1"/>
  <c r="D75" i="31"/>
  <c r="E11" i="29"/>
  <c r="F11" i="29" s="1"/>
  <c r="D73" i="29"/>
  <c r="E6" i="29"/>
  <c r="F6" i="29" s="1"/>
  <c r="D106" i="29"/>
  <c r="D8" i="31"/>
  <c r="E24" i="29"/>
  <c r="F24" i="29" s="1"/>
  <c r="E25" i="31"/>
  <c r="F25" i="31" s="1"/>
  <c r="G15" i="30" a="1"/>
  <c r="G15" i="30" s="1"/>
  <c r="D15" i="33" s="1"/>
  <c r="E37" i="31"/>
  <c r="F37" i="31" s="1"/>
  <c r="E107" i="29"/>
  <c r="F107" i="29" s="1"/>
  <c r="E19" i="31"/>
  <c r="F19" i="31" s="1"/>
  <c r="D23" i="29"/>
  <c r="E8" i="31"/>
  <c r="F8" i="31" s="1"/>
  <c r="G10" i="30" a="1"/>
  <c r="G10" i="30" s="1"/>
  <c r="D10" i="33" s="1"/>
  <c r="D95" i="31"/>
  <c r="E24" i="31"/>
  <c r="F24" i="31" s="1"/>
  <c r="E31" i="29"/>
  <c r="F31" i="29" s="1"/>
  <c r="D9" i="31"/>
  <c r="D7" i="29"/>
  <c r="E29" i="29"/>
  <c r="F29" i="29" s="1"/>
  <c r="D113" i="29"/>
  <c r="D71" i="31"/>
  <c r="D24" i="31"/>
  <c r="E39" i="31"/>
  <c r="F39" i="31" s="1"/>
  <c r="E116" i="29"/>
  <c r="F116" i="29" s="1"/>
  <c r="E29" i="31"/>
  <c r="F29" i="31" s="1"/>
  <c r="D99" i="31"/>
  <c r="D65" i="29"/>
  <c r="D94" i="31"/>
  <c r="D119" i="31"/>
  <c r="E91" i="29"/>
  <c r="F91" i="29" s="1"/>
  <c r="E18" i="29"/>
  <c r="F18" i="29" s="1"/>
  <c r="D73" i="31"/>
  <c r="E116" i="31"/>
  <c r="F116" i="31" s="1"/>
  <c r="D25" i="29"/>
  <c r="D107" i="29"/>
  <c r="E12" i="31"/>
  <c r="F12" i="31" s="1"/>
  <c r="D65" i="31"/>
  <c r="E38" i="29"/>
  <c r="F38" i="29" s="1"/>
  <c r="E115" i="31"/>
  <c r="F115" i="31" s="1"/>
  <c r="E23" i="31"/>
  <c r="F23" i="31" s="1"/>
  <c r="E102" i="31"/>
  <c r="F102" i="31" s="1"/>
  <c r="E58" i="29"/>
  <c r="F58" i="29" s="1"/>
  <c r="E75" i="31"/>
  <c r="F75" i="31" s="1"/>
  <c r="E103" i="31"/>
  <c r="F103" i="31" s="1"/>
  <c r="D72" i="31"/>
  <c r="E67" i="31"/>
  <c r="F67" i="31" s="1"/>
  <c r="D48" i="29"/>
  <c r="D2" i="29"/>
  <c r="D103" i="31"/>
  <c r="D66" i="29"/>
  <c r="E55" i="29"/>
  <c r="F55" i="29" s="1"/>
  <c r="D107" i="31"/>
  <c r="D45" i="29"/>
  <c r="E92" i="31"/>
  <c r="F92" i="31" s="1"/>
  <c r="D17" i="31"/>
  <c r="D37" i="31"/>
  <c r="E119" i="31"/>
  <c r="F119" i="31" s="1"/>
  <c r="E56" i="31"/>
  <c r="F56" i="31" s="1"/>
  <c r="D98" i="31"/>
  <c r="E46" i="29"/>
  <c r="F46" i="29" s="1"/>
  <c r="E102" i="29"/>
  <c r="F102" i="29" s="1"/>
  <c r="E3" i="29"/>
  <c r="F3" i="29" s="1"/>
  <c r="E84" i="31"/>
  <c r="F84" i="31" s="1"/>
  <c r="E19" i="29"/>
  <c r="F19" i="29" s="1"/>
  <c r="E11" i="31"/>
  <c r="F11" i="31" s="1"/>
  <c r="E54" i="29"/>
  <c r="F54" i="29" s="1"/>
  <c r="E2" i="29"/>
  <c r="F2" i="29" s="1"/>
  <c r="D55" i="29"/>
  <c r="E97" i="29"/>
  <c r="F97" i="29" s="1"/>
  <c r="E57" i="31"/>
  <c r="F57" i="31" s="1"/>
  <c r="G20" i="30" a="1"/>
  <c r="G20" i="30" s="1"/>
  <c r="D20" i="33" s="1"/>
  <c r="E97" i="31"/>
  <c r="F97" i="31" s="1"/>
  <c r="D124" i="29"/>
  <c r="E72" i="31"/>
  <c r="F72" i="31" s="1"/>
  <c r="E82" i="31"/>
  <c r="F82" i="31" s="1"/>
  <c r="E77" i="31"/>
  <c r="F77" i="31" s="1"/>
  <c r="D26" i="29"/>
  <c r="D33" i="29"/>
  <c r="E52" i="29"/>
  <c r="F52" i="29" s="1"/>
  <c r="E115" i="29"/>
  <c r="F115" i="29" s="1"/>
  <c r="D126" i="29"/>
  <c r="E99" i="31"/>
  <c r="F99" i="31" s="1"/>
  <c r="D92" i="29"/>
  <c r="D56" i="31"/>
  <c r="E81" i="31"/>
  <c r="F81" i="31" s="1"/>
  <c r="D63" i="31"/>
  <c r="E62" i="31"/>
  <c r="F62" i="31" s="1"/>
  <c r="D60" i="29"/>
  <c r="E4" i="29"/>
  <c r="F4" i="29" s="1"/>
  <c r="E113" i="31"/>
  <c r="F113" i="31" s="1"/>
  <c r="D96" i="31"/>
  <c r="D92" i="31"/>
  <c r="E68" i="29"/>
  <c r="F68" i="29" s="1"/>
  <c r="E64" i="29"/>
  <c r="F64" i="29" s="1"/>
  <c r="D18" i="29"/>
  <c r="E30" i="29"/>
  <c r="F30" i="29" s="1"/>
  <c r="D112" i="31"/>
  <c r="D64" i="29"/>
  <c r="E17" i="29"/>
  <c r="F17" i="29" s="1"/>
  <c r="E20" i="29"/>
  <c r="F20" i="29" s="1"/>
  <c r="D11" i="29"/>
  <c r="G21" i="30" a="1"/>
  <c r="G21" i="30" s="1"/>
  <c r="D21" i="33" s="1"/>
  <c r="D46" i="31"/>
  <c r="D97" i="31"/>
  <c r="E118" i="31"/>
  <c r="F118" i="31" s="1"/>
  <c r="D77" i="31"/>
  <c r="D3" i="31"/>
  <c r="E45" i="29"/>
  <c r="F45" i="29" s="1"/>
  <c r="D8" i="29"/>
  <c r="E51" i="29"/>
  <c r="F51" i="29" s="1"/>
  <c r="D98" i="29"/>
  <c r="D54" i="29"/>
  <c r="E32" i="29"/>
  <c r="F32" i="29" s="1"/>
  <c r="E68" i="31"/>
  <c r="F68" i="31" s="1"/>
  <c r="D35" i="31"/>
  <c r="E69" i="31"/>
  <c r="F69" i="31" s="1"/>
  <c r="E91" i="31"/>
  <c r="F91" i="31" s="1"/>
  <c r="D5" i="29"/>
  <c r="E63" i="31"/>
  <c r="F63" i="31" s="1"/>
  <c r="D2" i="31"/>
  <c r="D102" i="31"/>
  <c r="E105" i="31"/>
  <c r="F105" i="31" s="1"/>
  <c r="D61" i="29"/>
  <c r="E53" i="29"/>
  <c r="F53" i="29" s="1"/>
  <c r="E105" i="29"/>
  <c r="F105" i="29" s="1"/>
  <c r="E46" i="31"/>
  <c r="F46" i="31" s="1"/>
  <c r="D44" i="29"/>
  <c r="D131" i="29"/>
  <c r="E58" i="31"/>
  <c r="F58" i="31" s="1"/>
  <c r="E36" i="31"/>
  <c r="F36" i="31" s="1"/>
  <c r="E67" i="29"/>
  <c r="F67" i="29" s="1"/>
  <c r="E106" i="31"/>
  <c r="F106" i="31" s="1"/>
  <c r="D24" i="29"/>
  <c r="D62" i="31"/>
  <c r="E117" i="31"/>
  <c r="F117" i="31" s="1"/>
  <c r="D83" i="29"/>
  <c r="D44" i="31"/>
  <c r="D18" i="31"/>
  <c r="G12" i="30" a="1"/>
  <c r="G12" i="30" s="1"/>
  <c r="D12" i="33" s="1"/>
  <c r="E107" i="31"/>
  <c r="F107" i="31" s="1"/>
  <c r="D99" i="29"/>
  <c r="D93" i="31"/>
  <c r="D84" i="29"/>
  <c r="G17" i="30" a="1"/>
  <c r="G17" i="30" s="1"/>
  <c r="D17" i="33" s="1"/>
  <c r="D129" i="29"/>
  <c r="G7" i="30" a="1"/>
  <c r="G7" i="30" s="1"/>
  <c r="D7" i="33" s="1"/>
  <c r="E17" i="31"/>
  <c r="F17" i="31" s="1"/>
  <c r="D5" i="31"/>
  <c r="D84" i="31"/>
  <c r="D100" i="29"/>
  <c r="E35" i="31"/>
  <c r="F35" i="31" s="1"/>
  <c r="E92" i="29"/>
  <c r="F92" i="29" s="1"/>
  <c r="E23" i="29"/>
  <c r="F23" i="29" s="1"/>
  <c r="D91" i="29"/>
  <c r="D9" i="29"/>
  <c r="D40" i="29"/>
  <c r="E101" i="29"/>
  <c r="F101" i="29" s="1"/>
  <c r="D119" i="29"/>
  <c r="D38" i="29"/>
  <c r="E5" i="29"/>
  <c r="F5" i="29" s="1"/>
  <c r="D6" i="29"/>
  <c r="D108" i="29"/>
  <c r="D118" i="31"/>
  <c r="D85" i="29"/>
  <c r="D111" i="29"/>
  <c r="D12" i="29"/>
  <c r="D32" i="31"/>
  <c r="D106" i="31"/>
  <c r="D39" i="29"/>
  <c r="E35" i="29"/>
  <c r="F35" i="29" s="1"/>
  <c r="D20" i="31"/>
  <c r="D116" i="31"/>
  <c r="D66" i="31"/>
  <c r="D75" i="29"/>
  <c r="D96" i="29"/>
  <c r="D3" i="29"/>
  <c r="D116" i="29"/>
  <c r="D111" i="31"/>
  <c r="E34" i="31"/>
  <c r="F34" i="31" s="1"/>
  <c r="D105" i="31"/>
  <c r="D85" i="31"/>
  <c r="D36" i="31"/>
  <c r="D62" i="29"/>
  <c r="D58" i="31"/>
  <c r="D30" i="29"/>
  <c r="E113" i="29"/>
  <c r="F113" i="29" s="1"/>
  <c r="E25" i="29"/>
  <c r="F25" i="29" s="1"/>
  <c r="D82" i="31"/>
  <c r="D4" i="29"/>
  <c r="D67" i="29"/>
  <c r="D54" i="31"/>
  <c r="D60" i="31"/>
  <c r="D34" i="31"/>
  <c r="D51" i="31"/>
  <c r="E48" i="29"/>
  <c r="F48" i="29" s="1"/>
  <c r="E32" i="31"/>
  <c r="F32" i="31" s="1"/>
  <c r="D6" i="31"/>
  <c r="D130" i="29"/>
  <c r="D78" i="29"/>
  <c r="D121" i="29"/>
  <c r="D118" i="29"/>
  <c r="E73" i="31"/>
  <c r="F73" i="31" s="1"/>
  <c r="E55" i="31"/>
  <c r="F55" i="31" s="1"/>
  <c r="E37" i="29"/>
  <c r="F37" i="29" s="1"/>
  <c r="D115" i="29"/>
  <c r="D72" i="29"/>
  <c r="D36" i="29"/>
  <c r="D11" i="31"/>
  <c r="D51" i="29"/>
  <c r="E78" i="29"/>
  <c r="F78" i="29" s="1"/>
  <c r="E84" i="29"/>
  <c r="F84" i="29" s="1"/>
  <c r="D10" i="29"/>
  <c r="D52" i="29"/>
  <c r="E82" i="29"/>
  <c r="F82" i="29" s="1"/>
  <c r="D78" i="31"/>
  <c r="D53" i="29"/>
  <c r="D32" i="29"/>
  <c r="D57" i="29"/>
  <c r="D10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Gallegos Garay, Pablo I</author>
  </authors>
  <commentList>
    <comment ref="D28" authorId="0" shapeId="0" xr:uid="{01F6DA82-241D-4379-9232-7A8BFEE0344F}">
      <text>
        <r>
          <rPr>
            <b/>
            <sz val="9"/>
            <color indexed="81"/>
            <rFont val="Tahoma"/>
            <family val="2"/>
          </rPr>
          <t xml:space="preserve">Gallegos Garay, Pablo I:
</t>
        </r>
        <r>
          <rPr>
            <sz val="9"/>
            <color indexed="81"/>
            <rFont val="Tahoma"/>
            <family val="2"/>
          </rPr>
          <t>We need wider definition/term that also considers potential model improvements, appart from forecasting techniques.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<sst xmlns="http://schemas.openxmlformats.org/spreadsheetml/2006/main" count="1835" uniqueCount="646">
  <si>
    <t>Abstract_Index</t>
  </si>
  <si>
    <t>Document Title</t>
  </si>
  <si>
    <t>Scenario Reduction Network Based on Wasserstein Distance With Regularization</t>
  </si>
  <si>
    <t>Abstract</t>
  </si>
  <si>
    <t>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t>
  </si>
  <si>
    <t>Main Program</t>
  </si>
  <si>
    <t>Other</t>
  </si>
  <si>
    <t>Score [0-5]</t>
  </si>
  <si>
    <t>Rationale</t>
  </si>
  <si>
    <r>
      <rPr>
        <b/>
        <sz val="11"/>
        <color theme="1"/>
        <rFont val="Calibri"/>
        <family val="2"/>
        <scheme val="minor"/>
      </rPr>
      <t xml:space="preserve">Instructions: 
</t>
    </r>
    <r>
      <rPr>
        <sz val="11"/>
        <color theme="1"/>
        <rFont val="Calibri"/>
        <family val="2"/>
        <scheme val="minor"/>
      </rPr>
      <t>1) Only modify colored cells.</t>
    </r>
    <r>
      <rPr>
        <b/>
        <sz val="11"/>
        <color theme="1"/>
        <rFont val="Calibri"/>
        <family val="2"/>
        <scheme val="minor"/>
      </rPr>
      <t xml:space="preserve">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Select the </t>
    </r>
    <r>
      <rPr>
        <b/>
        <sz val="11"/>
        <color theme="1"/>
        <rFont val="Calibri"/>
        <family val="2"/>
        <scheme val="minor"/>
      </rPr>
      <t xml:space="preserve">main program.
</t>
    </r>
    <r>
      <rPr>
        <sz val="11"/>
        <color theme="1"/>
        <rFont val="Calibri"/>
        <family val="2"/>
        <scheme val="minor"/>
      </rPr>
      <t xml:space="preserve">3) Evaluate </t>
    </r>
    <r>
      <rPr>
        <b/>
        <sz val="11"/>
        <color theme="1"/>
        <rFont val="Calibri"/>
        <family val="2"/>
        <scheme val="minor"/>
      </rPr>
      <t>all</t>
    </r>
    <r>
      <rPr>
        <sz val="11"/>
        <color theme="1"/>
        <rFont val="Calibri"/>
        <family val="2"/>
        <scheme val="minor"/>
      </rPr>
      <t xml:space="preserve"> </t>
    </r>
    <r>
      <rPr>
        <b/>
        <sz val="11"/>
        <color theme="1"/>
        <rFont val="Calibri"/>
        <family val="2"/>
        <scheme val="minor"/>
      </rPr>
      <t>questions</t>
    </r>
    <r>
      <rPr>
        <sz val="11"/>
        <color theme="1"/>
        <rFont val="Calibri"/>
        <family val="2"/>
        <scheme val="minor"/>
      </rPr>
      <t xml:space="preserve"> in the list.</t>
    </r>
    <r>
      <rPr>
        <b/>
        <sz val="11"/>
        <color theme="1"/>
        <rFont val="Calibri"/>
        <family val="2"/>
        <scheme val="minor"/>
      </rPr>
      <t xml:space="preserve">
</t>
    </r>
    <r>
      <rPr>
        <sz val="11"/>
        <color theme="1"/>
        <rFont val="Calibri"/>
        <family val="2"/>
        <scheme val="minor"/>
      </rPr>
      <t xml:space="preserve">4) Evaluate </t>
    </r>
    <r>
      <rPr>
        <b/>
        <sz val="11"/>
        <color theme="1"/>
        <rFont val="Calibri"/>
        <family val="2"/>
        <scheme val="minor"/>
      </rPr>
      <t>affinity score</t>
    </r>
    <r>
      <rPr>
        <sz val="11"/>
        <color theme="1"/>
        <rFont val="Calibri"/>
        <family val="2"/>
        <scheme val="minor"/>
      </rPr>
      <t xml:space="preserve"> with integers 0, 1, 2, 3, 4, and 5 according to the scale below.
5) Provide a rationale for at least two low-, two medium-, and two high-classified questions. Prioritise questions where the classification was particularly difficult, uncertain, or ambiguous.
Affinity Scale:
Low 
  ∎ 0: </t>
    </r>
    <r>
      <rPr>
        <b/>
        <sz val="11"/>
        <color theme="1"/>
        <rFont val="Calibri"/>
        <family val="2"/>
        <scheme val="minor"/>
      </rPr>
      <t>No conceptual overlap</t>
    </r>
    <r>
      <rPr>
        <sz val="11"/>
        <color theme="1"/>
        <rFont val="Calibri"/>
        <family val="2"/>
        <scheme val="minor"/>
      </rPr>
      <t xml:space="preserve">. The abstract addresses a completely different topic, phenomenon or research domain. There are no shared concepts, methods, or outcomes. Any superficial keyword match is coincidental. The abstract would not appear in a literature review for this question under any reasonable interpretation.
  ∎ 1: </t>
    </r>
    <r>
      <rPr>
        <b/>
        <sz val="11"/>
        <color theme="1"/>
        <rFont val="Calibri"/>
        <family val="2"/>
        <scheme val="minor"/>
      </rPr>
      <t>Marginal overlap</t>
    </r>
    <r>
      <rPr>
        <sz val="11"/>
        <color theme="1"/>
        <rFont val="Calibri"/>
        <family val="2"/>
        <scheme val="minor"/>
      </rPr>
      <t xml:space="preserve">. One or two terms or concepts are shared but the abstract investigates a fundamentally different question. The research domain may be adjacent but the objectives, topic, or outcomes are misaligned. Findings from this abstract could not be used to inform an answer to the question even partially. A reader would not cite this abstract as background for the question.
Moderate
  ∎ 2: </t>
    </r>
    <r>
      <rPr>
        <b/>
        <sz val="11"/>
        <color theme="1"/>
        <rFont val="Calibri"/>
        <family val="2"/>
        <scheme val="minor"/>
      </rPr>
      <t>Contextual  overlap</t>
    </r>
    <r>
      <rPr>
        <sz val="11"/>
        <color theme="1"/>
        <rFont val="Calibri"/>
        <family val="2"/>
        <scheme val="minor"/>
      </rPr>
      <t xml:space="preserve">. The abstract shares the general domain and studies a related concept or phenomenon, but targets a different outcome, phenomenon, or objective. The abstract provides useful background or framing but cannot directly answer the question. A reader might cite it to establish context but not as evidence.
  ∎ 3: </t>
    </r>
    <r>
      <rPr>
        <b/>
        <sz val="11"/>
        <color theme="1"/>
        <rFont val="Calibri"/>
        <family val="2"/>
        <scheme val="minor"/>
      </rPr>
      <t>Partial evidence</t>
    </r>
    <r>
      <rPr>
        <sz val="11"/>
        <color theme="1"/>
        <rFont val="Calibri"/>
        <family val="2"/>
        <scheme val="minor"/>
      </rPr>
      <t xml:space="preserve">. The abstract addresses the same research objective as the question but in a different area, context, or with a different methodological framework. Findings are relevant but require adaptation or extrapolation to apply to the question. A reader would cite this abstract as indirect or supporting evidence, not as a primary source.
High
  ∎ 4: </t>
    </r>
    <r>
      <rPr>
        <b/>
        <sz val="11"/>
        <color theme="1"/>
        <rFont val="Calibri"/>
        <family val="2"/>
        <scheme val="minor"/>
      </rPr>
      <t>Direct relevance</t>
    </r>
    <r>
      <rPr>
        <sz val="11"/>
        <color theme="1"/>
        <rFont val="Calibri"/>
        <family val="2"/>
        <scheme val="minor"/>
      </rPr>
      <t xml:space="preserve">. The abstract addresses the same question, phenomenon, and outcome. Minor differences in methodology, setting, or scope exist but do not prevent the findings from being directly applicable. A reader would cite this abstract as substantive evidence for answering the question.
  ∎ 5: </t>
    </r>
    <r>
      <rPr>
        <b/>
        <sz val="11"/>
        <color theme="1"/>
        <rFont val="Calibri"/>
        <family val="2"/>
        <scheme val="minor"/>
      </rPr>
      <t>Near-perfect match</t>
    </r>
    <r>
      <rPr>
        <sz val="11"/>
        <color theme="1"/>
        <rFont val="Calibri"/>
        <family val="2"/>
        <scheme val="minor"/>
      </rPr>
      <t>. The abstract is a primary source for the question. It addresses the same research question, phenomenon, outcome, and methodology with only incidental differences. A reader would consider this abstract central to any literature review on the question.</t>
    </r>
  </si>
  <si>
    <t>Question</t>
  </si>
  <si>
    <t>Planning</t>
  </si>
  <si>
    <t>Group</t>
  </si>
  <si>
    <t>Subgrouping</t>
  </si>
  <si>
    <t>RA2025</t>
  </si>
  <si>
    <t>Questions - long</t>
  </si>
  <si>
    <t>IBR</t>
  </si>
  <si>
    <t>I1 - Power system evolution with high IBR shares</t>
  </si>
  <si>
    <t xml:space="preserve">What is the future of active power balance as the synchronous generation fraction reduces? For example, might tightened or loosened frequency (or similar proxy for active power balance) limits lead to a more reliable, secure, lower-cost IBR-based power system? </t>
  </si>
  <si>
    <t xml:space="preserve">How will protection systems need to change to accommodate high penetrations of IBRs, and what possible actions might an inverter take during a fault that would help fault detection and location? </t>
  </si>
  <si>
    <t xml:space="preserve">How could the IBR control paradigm change from replicating synchronous machines to exploiting wider IBR flexibility without introducing integration challenges during the transition? </t>
  </si>
  <si>
    <t>I2 - IBR design standards and capabilities</t>
  </si>
  <si>
    <t xml:space="preserve">What are the appropriate inverter capabilities and, consequently, control design methods for operation in grids with high percentages of IBRs, and are standard configurations and combinations of services helpful in simplifying operational decision-making? </t>
  </si>
  <si>
    <t xml:space="preserve">What recommendations for standard IBR frequency characteristics and responses should be identified to help system design? For example, should a contribution to damping be mandatory at certain frequencies? </t>
  </si>
  <si>
    <t xml:space="preserve">What requirements (e.g. impedance) should be placed on IBRs to control negative sequence currents for protection and harmonics suppression? </t>
  </si>
  <si>
    <t>Stability</t>
  </si>
  <si>
    <t>St1 - Tools for real-time operation of IBR dominated systems</t>
  </si>
  <si>
    <t>What approaches can be taken to track the dynamic response of IBR-dominated systems near real time and detect any emerging stability problems?</t>
  </si>
  <si>
    <t>St2 - Methods for planning and operation of low-inertia systems</t>
  </si>
  <si>
    <t xml:space="preserve">What methods, including data types, and analyses can be used to identify the risk of poorly damped IBR-induced oscillations in planning studies and trace their root cause? </t>
  </si>
  <si>
    <t xml:space="preserve">What analytical tools and models should be provided to planners and operators for robust assessment of system performance in IBR-dominated power grids? </t>
  </si>
  <si>
    <t xml:space="preserve">What methods and tools should be used in planning and/or operation to determine the appropriate mix, location, and capabilities of grid-forming and grid-following inverters to mitigate stability problems for a given power system? </t>
  </si>
  <si>
    <t>In what form and fidelity should the original equipment manufacturers/developers and system operators exchange the IBR and grid models for comprehensive stability assurance of IBR-dominated grids?</t>
  </si>
  <si>
    <t>DER System Services</t>
  </si>
  <si>
    <t>D3 - Bulk system services</t>
  </si>
  <si>
    <t>What mechanisms and appropriate aggregate DER representations and data are necessary to account for DERs in system-wide operation and planning, and in techno economic evaluation?</t>
  </si>
  <si>
    <t>How can system operators quantify the bulk-level energy and service opportunities from DER, and how can these services be shared among distribution operators, bulk operators, aggregators and (where applicable) customers?</t>
  </si>
  <si>
    <t>How can bulk-level services provided by DER be valued as a compromise between simplicity and, for example, a complex full cost-reflective approach?</t>
  </si>
  <si>
    <t>DER C&amp;C</t>
  </si>
  <si>
    <t>D1 - DER Aggregation, measurement &amp; control</t>
  </si>
  <si>
    <t>What aggregate quantities must be monitored, screened, and validated to ensure reliable service provision from different DER categories and at what
temporal and/or spatial resolution must these processes occur?</t>
  </si>
  <si>
    <t>What is the communication capability needed to support monitoring and coordination of DER in terms of reliability, latency, bandwidth and (cyber) security?</t>
  </si>
  <si>
    <t>D2 - Data and control architecture</t>
  </si>
  <si>
    <t>What is a scalable data architecture for DER monitoring, modelling, and coordination in real-time that would be suitable for the control room?</t>
  </si>
  <si>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</si>
  <si>
    <t>CROF</t>
  </si>
  <si>
    <t>C1 - Flexibility assessment</t>
  </si>
  <si>
    <t>How can the capabilities of grid-enhancing technologies (such as FACTS,SPS, RAS, DLR, PFC, WAMPAC) be integrated into the operational decision-making process?</t>
  </si>
  <si>
    <t>How can grid topology be flexibly adapted to be reliably integrated into the operational decision-making process with outage scheduling, transfer limit increase, and post contingency remedial actions?</t>
  </si>
  <si>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</si>
  <si>
    <t>C2 - Data and digital architecture</t>
  </si>
  <si>
    <t>What type of digital architecture is best placed to enable modularity and the variety of software required to operate a control room in real time, near-real time, and in auto pilot mode?</t>
  </si>
  <si>
    <t>What is the best way to integrate large datasets, streaming information, and historical system performance to create actionable operational insights in an increasingly complex environment with multiple phenomena occurring within overlapping timescales?</t>
  </si>
  <si>
    <t>C3 - Security assessment</t>
  </si>
  <si>
    <t>How can the risk of high-impact low-probability events (weather-related and otherwise) be incorporated into security assessments in real time and operations planning?</t>
  </si>
  <si>
    <t>What metrics and their definitions (system strength, inertia, or others) need to be appropriately monitored or calculated to assess system dynamic behavior in real time, and what monitoring capabilities are necessary to support these assessments?</t>
  </si>
  <si>
    <t>C4 - Visualization</t>
  </si>
  <si>
    <t>What improvements can be made to predictive tools and visualization methodologies in operational applications within the control room to support decision-making in real-time operations?</t>
  </si>
  <si>
    <t>C5 - Forecasting</t>
  </si>
  <si>
    <t>How can risk-based methods (e.g. probabilistic forecasting techniques) be better incorporated into operational decision-support tools and used consistently across multiple stages (e.g., real-time, day ahead, intraday planning)?</t>
  </si>
  <si>
    <t>System Services</t>
  </si>
  <si>
    <t>SS1 - System needs</t>
  </si>
  <si>
    <t>What system services are needed across different timescales and to the extent that services coexist within the same timescale, how should these services be designed to avoid competition and overlap? </t>
  </si>
  <si>
    <t>What are the needs of a power system expressed in technologically neutral form and how do these needs map to services that any resource (including data centers, other IBRs, DERs, high-voltage direct current links, etc.) can provide? </t>
  </si>
  <si>
    <t>How can system performance requirements be translated into reliable new technology solutions? </t>
  </si>
  <si>
    <t>For each service, how feasible is it to provide from IBR, what “cost” does it add, what limitations exist on its magnitude and duration and what are the trade-offs between the provision of services? </t>
  </si>
  <si>
    <t>SS2 - Services design</t>
  </si>
  <si>
    <t>How should system restoration services be structured and organized in systems with few or no synchronous machines, relying on IBR technologies and variable energy resources? </t>
  </si>
  <si>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t>
  </si>
  <si>
    <t>What methods could determine the need, sufficiency, and locational nature of IBR voltage control and system strength services for a given area? </t>
  </si>
  <si>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t>
  </si>
  <si>
    <t>What system services can be designed to enable response from IBRs that can be a substitute for inertia (i.e. very fast frequency response)?  </t>
  </si>
  <si>
    <t>P2 - Resource Adequacy</t>
  </si>
  <si>
    <t>What studies and metrics are required to identify long-term scarcity of resources (capacity, energy, flexibility etc.) to maintain reliability?   </t>
  </si>
  <si>
    <t>How should grid enhancing technologies be included in the planning processes? </t>
  </si>
  <si>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t>
  </si>
  <si>
    <t>What studies and metrics are required to evaluate resource adequacy with hybrid plants (e.g., photovoltaics-plus-storage) and virtual power plants? </t>
  </si>
  <si>
    <t>P1 - Planning under uncertainty</t>
  </si>
  <si>
    <t>What additional probabilistic planning methods and tools are necessary for planning a power system with a high share of IBRs and in particular, variable renewable energy resources? </t>
  </si>
  <si>
    <t>What additional planning models and methods are needed to plan for various levels of uncertainty and no-regrets investments in a paradigm of increasing electrification and growing IBR and DER penetrations? </t>
  </si>
  <si>
    <t>What changes can be incorporated into the transmission planning process, especially inter-regional planning, to unlock multi-value system benefits and accommodate new drivers of uncertainty (e.g., large growth due to electrification or low growth due to increased use of DERs)? </t>
  </si>
  <si>
    <t>What methods, processes, and products (e.g. services) can support effective valuation, integration, and procurement of long-duration energy storage? </t>
  </si>
  <si>
    <t>What additional load and resource forecasting models are necessary to account for electrification, including large loads (e.g., data centers), coupling of the transportation and building sectors, and demand-side flexibility? </t>
  </si>
  <si>
    <t>P3 - Extreme events</t>
  </si>
  <si>
    <t>What additional methods, tools, and metrics are necessary to incorporate resilience concepts and the ability to recover and adapt to adverse conditions, considering uncertain future states into planning a power system with a high share of renewables? </t>
  </si>
  <si>
    <t>How do system operators adequately account for the overall system impact of extreme events in planning studies, particularly those that impact the system with a high share of flexible resources in both supply and demand (wind, solar, demand-side flexibility)? </t>
  </si>
  <si>
    <t>What additional planning models and methods are needed to plan for a system that can withstand expected or unexpected lulls (e.g., an extended wind drought, or a dunkelflaute)?  </t>
  </si>
  <si>
    <t>RA2025_ID</t>
  </si>
  <si>
    <t>RA_Question</t>
  </si>
  <si>
    <t>Evaluator_Affinity_Level</t>
  </si>
  <si>
    <t>Evaluator_Score</t>
  </si>
  <si>
    <t>adjudicated_level</t>
  </si>
  <si>
    <t>Final_Reason</t>
  </si>
  <si>
    <t>Why this score was assigned to the abstract?</t>
  </si>
  <si>
    <t>Why does this abstract fall below the next relevance level?</t>
  </si>
  <si>
    <t>Cooperative Hierarchical Control of Isolated Microgrids Considering Energy Storage System Aggregation</t>
  </si>
  <si>
    <t>Low</t>
  </si>
  <si>
    <t>Moderate</t>
  </si>
  <si>
    <t>Most models rated this strongly (60â€“86). I resolved high because the paper directly develops an aggregated ESS representation and derives real-time model parameters via distributed observers, which is closely aligned with aggregate DER representations for operation. The score is slightly reduced because planning and techno-economic evaluation are not central themes.</t>
  </si>
  <si>
    <t xml:space="preserve">There are some potential links between the content of this research paper and the G-PST research question.  In particular Microgrids can be considered to be DERs to some extent and by controlling them you are potentially making them somewhat like an aggregated DER resource.  Some of the concepts like observability mentioned in the abstract of the paper are also potentially of interest.  </t>
  </si>
  <si>
    <t xml:space="preserve">There is nothing direct within the abstract of the paper to link directly to aggregation and DERs.  The links are at best second hand.  The overall application of the paper is on a test system not a real system and there is mention of the word theoretical which is not a confidence building term with respect to a real application.  </t>
  </si>
  <si>
    <t>An AC-Feasible Linear Model in Distribution Networks With Energy Storage</t>
  </si>
  <si>
    <t>Most models rated this moderate-to-high because the paper develops an AC-feasible dispatch model for DERs and storage, which helps quantify feasible DER capabilities at a system level. I discounted the highest scores because the abstract does not address bulk-level service valuation or how benefits are shared among bulk operators, DSOs, aggregators, and customers.</t>
  </si>
  <si>
    <t>There are some potential links between the content of this research paper and the G-PST research question.  In particular this is about DERs and accounting for the constraints that DERs have - this is linked with the primary objective of the G-PST research question which is quantification of services and constrainst in the distribution system are a key to understand that. There is also potential applications is mentioned in the abstract of the papaer which is at least accepting application may be important.</t>
  </si>
  <si>
    <t xml:space="preserve">The focus of the paper is on the distribution network and not the transmissio network - in order for it t be scored higher it would need to focus on the transmission system.  The paper abstract is very focussed on the details of the formulation of an optimisation prolem and some theory and not on the formulation of an real applied problem.  Test results are from a test system and not a real sysytem with no obvius link to real industry stakeholders and/or real applications focussed work. </t>
  </si>
  <si>
    <t>Analysis of Long-Term Indicators in the British Balancing Market</t>
  </si>
  <si>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questions)?Â </t>
  </si>
  <si>
    <t>High</t>
  </si>
  <si>
    <t>There are potential links between the paper abstract and the G-PST research question.  In particular the paper is addressing the british balancing market and the research question is asking can variable renewable energy provide services.  The link if it is there is on the methods side.</t>
  </si>
  <si>
    <t xml:space="preserve">The potential links identified between the paper abstract and the G-PST research question are possibling misleading so scoring any higher is simply not justified. may not actually have anything of value </t>
  </si>
  <si>
    <t>Hierarchical Control Strategy for Effective Virtual Frequency Responses of Multiple WPPs</t>
  </si>
  <si>
    <t>Model scores were consistently high (70â€“84). The abstract clearly moves beyond simple synchronous-machine-like inertia emulation by adding layered virtual inertial and primary frequency response from wind plants. I kept the score below the maximum because it does not really address transition/integration challenges, only the control paradigm shift itself.</t>
  </si>
  <si>
    <t xml:space="preserve">There is a potential link between the paper astract which is focussed on controlling wind power plants to provide so called virtual frequency response and the G-PST research question which is focussed on the IBR control paradigm.  The assumption is that IBR control and WPP control share a lot in common.  </t>
  </si>
  <si>
    <t>The link identified may not result in any synergy between the research being reported in the paper and the G-PST research question.  While IBRs and WPPs do share some things in common the link in this instance may not actually amount to anything of interest.  There is also no mention of any real application or involvement of system operators and industry and the results are on a test system not a real system.</t>
  </si>
  <si>
    <t>Virtual ProsumersÃƒÂ¢Ã¢â€šÂ¬Ã¢â€žÂ¢ P2P Transaction Based Distribution Network Expansion Planning</t>
  </si>
  <si>
    <t>Most models rated this moderately to strongly relevant because the paper quantifies DER/prosumer transactions, allocates network charges, and coordinates value sharing among prosumers, DISCO, and IDSO. I discounted the highest score because the work is distribution-centric and does not truly quantify bulk-level opportunities or sharing with bulk operators in a full transmission sense.</t>
  </si>
  <si>
    <t xml:space="preserve">DERs and one of the stakeholders the prosumer are identified in the abstact of the papaer which has potential links to  quantification of services frm DERs and sharing of these amoung other stakeholders.  </t>
  </si>
  <si>
    <t>The identified G-PST research question is in the services area yet the paper is tackling a plannig problem so the links identified are at best tangential and at worst non existent.  The whole area of transactive energy and markets is out of scope for G-PST research question so that is a poor indicator of strong links.  The application domain and/or time frame of the paper and the G-PST research question may differ it loks like the paper is targeting planning while the G-PST research question i sin the operations time frame.</t>
  </si>
  <si>
    <t>Adaptive Weighted Combination Approach for Wind Power Forecast Based on Deep Deterministic Policy Gradient Method</t>
  </si>
  <si>
    <t>This is one of the strongest matches. The paper directly proposes an adaptive forecasting method using DDPG for online weighting under changing conditions, which aligns well with incorporating advanced predictive/risk-aware methods into operational decision support. I tempered the very high scores slightly because the abstract does not explicitly address consistency across multiple operational stages such as day-ahead, intraday, and real-time.</t>
  </si>
  <si>
    <t>This is an incremental piece of research that does not directly address and of the G-PST research questions but does paotentially have some links to some aspects of the research agenda.</t>
  </si>
  <si>
    <t xml:space="preserve">There are no real practical applications.  It is mainly methological and incremental and it is at best a small potential contribution to a very secondary aspect of the much more impactful research question. </t>
  </si>
  <si>
    <t>There is strong cross-model agreement that this is one of the best matches. The paper proposes aggregate linear representations of controllable DERs and storage with AC-feasible network constraints for operation/planning. I stopped short of an even higher score because mechanisms, data requirements, and techno-economic evaluation are not deeply developed.</t>
  </si>
  <si>
    <t>There may be some potential link between the research as described in the abstract and the G-PST research question.  This link is embodied in the focus on DErs in both the paper and the research question but the link is at best tenous.</t>
  </si>
  <si>
    <t>An incremental piece of research is reported in the abstract of the paper and it is not directly related to the G-PST research question.  It is also fixated on methodology and only conducts some numerical experiments with no sign of a real application.</t>
  </si>
  <si>
    <t>Time Aggregation in Presence of Multiple Variable Energy Resources</t>
  </si>
  <si>
    <t>This is one of the strongest matches. Multiple models recognized that the paper proposes an aggregate representation method using representative periods and hybrid centroids for variable resources and demand, directly relevant to aggregate DER-like representations in planning and techno-economic evaluation. I discounted the highest scores slightly because the abstract is not explicitly DER-focused and emphasizes VREs and storage rather than broad DER mechanisms.</t>
  </si>
  <si>
    <t xml:space="preserve">This is a methods based paper that has some small potential link to the research agenda.  The research question is seeking methods to use when trying to account for DERs in planning and techno econmic analysis and this paper may be useful when dealing with aggregation of the spatial /DER aspects. </t>
  </si>
  <si>
    <t xml:space="preserve">This is a paper with an potential link to some aspects of the G-PST research agenda in the DER space.  It shares data and aggregation of variable renewable energy within the scope of the paper.  It is at best an icremental contribution and has only some small case studies that are not obviously directly related to the research agenda.  </t>
  </si>
  <si>
    <t>Reduced Voltage-Dependency by Categorical Location Information and Distance Along Street Metric for Meter-Transformer Mapping in Distribution Systems</t>
  </si>
  <si>
    <t>This is one of the strongest matches. The paper is directly about obtaining accurate transformer-level aggregation from smart meters so operators can monitor transformer loading in real time, which aligns with identifying aggregate quantities and spatial resolution needed for reliable service provision. I moderated the very highest scores slightly because it focuses on one aggregate quantity and mapping method rather than a broader framework of monitored DER categories and validation processes.</t>
  </si>
  <si>
    <t>This research paper addresses a distribution level challenge that can have some impact on the higher level transmission related problems that are the focus of the G-PST research agenda.  It does however have a good potential link to a real pratctical problem as indicated by the real distribution untility application.</t>
  </si>
  <si>
    <t xml:space="preserve">The ppaer aspect does not address a G-PST research question in and direct way - it is focussed on the distribution system and not the transmission system therefore its link to the G-PST research question is minimal.  While there is an application in the ppaer it is not on the transmission system so that is a big weakness with resect to a strong link with the G-PST research question.  </t>
  </si>
  <si>
    <t>High-Dimensional Feature Selection for Power System Congestion Event Prognosis With Enhanced Evolutionary Computation</t>
  </si>
  <si>
    <t>The paper uses multivariate operational data and uncertainty-related event prognosis, but it does not assess flexibility from transmission, distribution, EVs, heat, or other coupled energy resources, nor how such flexibility is deployed in real time. I therefore treated the few moderate scores as overextensions and kept the final score low.</t>
  </si>
  <si>
    <t>The research in this paper has a reasonably good link to the G-PST research question.  The paper describes a method to identify features that can be used to enhance the potential of harnessing flexibility resources.  There is reference to a real world test results which is encouraging.</t>
  </si>
  <si>
    <t>While the links are potentially strong between the paer and the research question they are not direct.  The paper addresses congestion but the research question is focussed on flexibility - congestion has an impact of flexibility but i snot a oneto one relationship.  No clear link or working relationship with a system operator is evident.</t>
  </si>
  <si>
    <t>Centralized Distributionally Robust Chance-Constrained Dispatch of Integrated Transmission-Distribution Systems</t>
  </si>
  <si>
    <t>What technical models need to be added to long-term planning methods and studies to consider other reliability services in addition to traditional resource adequacy and deliverability?Â  For example, how should sufficient restoration capability be modeled in long-term reliability studies?Â </t>
  </si>
  <si>
    <t>The paper does not address long-term planning for broader reliability services such as restoration capability. I gave slight credit for modeling flexibility under uncertainty, but resolved the conflict strongly downward because the core planning-and-restoration focus is absent.</t>
  </si>
  <si>
    <t xml:space="preserve">There is a potential relationshio between the focus of the paper and the G-PST research agenda.  The paper focusses on the transmission distribution interface which is important in the DER part of the research agenda and the specific research question is looking into how reliability services in planning can account for deliverability. </t>
  </si>
  <si>
    <t>The research in the paper only relates to a small part of the research question and there are no signs of real practical application.  It is also not clear if the ppaer can provide real planning related benefits as it is really focussed on operations so more work would need to be done to bring this research in the paper closer to te practical G-PST research question.</t>
  </si>
  <si>
    <t>Comparative Analysis of the Power Output Capabilities of Grid-Following and Grid-Forming Inverters Considering Static, Dynamic, and Thermal Limitations</t>
  </si>
  <si>
    <t xml:space="preserve">Thematically the paper abstract aligns very well with the IBR research program of the G-PST research agenda and specifically the research reported in ths paper addresses capability and control design.  It also deals with these issues accross the range of IBRs i.e. GFM and GFL. The focus of the paper is in addressing real issues and is not methodologically dominated which is another good sign. </t>
  </si>
  <si>
    <t>The paper stpos short of services and/or operational deceson making which limits its potential linkage to the G-pST research question.  Although simulation results and experiments are noted it i snot clear if they are at the right scale and applicability to be truly useful nor is it clear if a utility and/or a system operator are involved.</t>
  </si>
  <si>
    <t>This research paper abstract describes research that directly addresses the capability of wind plant to provide frequency control services.  It also directly addresses the control problem and there are case studies on a a test network.  These are all indicative of a solid lin with the G-PST research question.</t>
  </si>
  <si>
    <t>The paper falls short of being strongly linked to the G-PST research question as it does not appaer to be directed fully at the IBR aspects and it is also very focussed on the device rather than on the system itself.  Furthermore the case study i son a small typical test network and there does not appaer to be any system operator involvement and/or any practical insights reported in the results.</t>
  </si>
  <si>
    <t>Chance-Constrained Optimization Based PV Hosting Capacity Calculation Using General Polynomial Chaos</t>
  </si>
  <si>
    <t>What additional planning models and methods are needed to plan for various levels of uncertainty and no-regrets investments in a paradigm of increasing electrification and growing IBR and DER penetrations?Â </t>
  </si>
  <si>
    <t>While there is good alignment from a methods perspective the practical application of the research may only be on the distribution network which may limit the research work being reported in the papaer with respect to the G-PST transmssion system perspective and scope.  There is also no sign of a real practical result and a path towrads deployment of the research to system operators.</t>
  </si>
  <si>
    <t>The focus of the paper on feature selection and training using large data sets is very well aligned with the underlying research question being asked for in the G-PST research agenda research question.  Real world data along with synthetic data is also used in the research paper.</t>
  </si>
  <si>
    <t>While at a basic level the research paper abstract describes research that looks at large complex data sets to help in power system operations the focus of the paper is only on one aspect, congestion and there is also no sign that multiple time scales are addressed.  Therefore the research paper is potentially well linked with a very specific aspect of the G-PSt resarch question but not the holistic aspects.  No practical next steps are identified nor is there any sign of a real system operator and/or industry partner.</t>
  </si>
  <si>
    <t>There is strong consensus (70â€“90) that this paper is highly relevant because it explicitly proposes a cooperative hierarchical distributed coordination architecture and motivates it by flexibility, scalability, and reduced communication burden versus centralized control. I kept the score high but not maximal because it does not comprehensively compare multiple aggregator/DSO-SO arrangements beyond its proposed architecture.</t>
  </si>
  <si>
    <t>There is a lot of synergy between the research paper abstract and the G-PST research question specifically - aggregation, control communications and broadly speaking DERs.  Simulation results are also highlighted.  There is a real sense of the linkages here on  amethologcal basis between the G-PST research question and the paper abstract.</t>
  </si>
  <si>
    <t xml:space="preserve">The mention of microgrids in the ppaer abstract is a big reason that this paper abstract does not link more strongly with the G-PST research question.  There are no indications that there are next steps to take this work further and apply with a system operator.  </t>
  </si>
  <si>
    <t>The scope of the paper abstract and the G-PST research question share a lot in common.  They are both driven by tools in the area of IBRs and their performance and capabilities.  The paper abstract focusses on all types of IBRs which is showing reach and potential applicability.  The paper mentions experimental cases which is indicative of applicability and it appaers there are multile cases which speaks t a potentially robust set of results.</t>
  </si>
  <si>
    <t>The link at the tools level may break down when real case studies are tackled.  Additionally there is no mention of a real application and the paper is overly focussed on equations and not on realpractical results.</t>
  </si>
  <si>
    <t>Minimum Energy Demands of Energy Storages for Fast Frequency Response: Formulation, Solution, and Implementation</t>
  </si>
  <si>
    <t>What system services can be designed to enable response from IBRs that can be a substitute for inertia (i.e. very fast frequency response)?Â Â </t>
  </si>
  <si>
    <t xml:space="preserve">Although the word services (and IBRs) do not appear in the abstract of the paper it is directed at fast frequency response (FFR) which is a service - hence it is linked with this G-pST research question.  There are strong indications that applications are on their radar which is a positive.  </t>
  </si>
  <si>
    <t>The paper abstract is a little too focussed on the fancy internal methods and not on the interesting results around fast frequency response as a service.  Also no system operator is involved and the lack of a holistic type of approach that account sfor the multiple services required and their overlap is a shortcoming.</t>
  </si>
  <si>
    <t>The research reported in the abstract addresses the need for some sort of dimensionality reduction in order to deal with uncertainities which will arise in future power systems.  thi sis a theme of the G-PST research question sin the planning research program.  The paper proposes a method to do thi sreduction and this is aligned with the methodological scope of the research question.</t>
  </si>
  <si>
    <t>While there is a lot of alignment between the research question of the G-PST and the topic f the paper it is not clear if the research paper is developing the methods for application in planning which si the focus of the research question.  There is also no sign that the work has a pathway to application with a system operator.</t>
  </si>
  <si>
    <t>Automatic Generation of Topology Diagrams for Strongly-Meshed Power Transmission Systems</t>
  </si>
  <si>
    <t>There is strong cross-model agreement that the work directly improves visualization methodology for operational use by generating clearer, more readable topology diagrams that preserve relative positions and reduce crossings. Scores were moderated slightly below the highest values because the paper does not develop predictive tools and is not explicitly framed around real-time control-room deployment, but it is still highly relevant on the visualization side of the question.</t>
  </si>
  <si>
    <t>Very strong link between the abstract of the paper with its focus on presenting graphically information that the user can use and interpret.  Practical application is a term used that is indicative that practical uses are being pursueed.  The scale being quaoted at over 2000 nodes is good to see and looks like scaleability is very much in the minds of the researchers.  Case studies are done on several systems which is indicative of robustness of the results.</t>
  </si>
  <si>
    <t>The actual title of the paper is not a good fit to the G-PST research agenda question but the abstract text is a good fit - hence reluctance to increase the score.  There is no direct reference to control rooms which is a little concerning and there are no system operator stakeholders involved.  There is alos more an emphasis on the algorithm side than on the user side and there is no mention of real time.</t>
  </si>
  <si>
    <t>Changes Made</t>
  </si>
  <si>
    <t xml:space="preserve">There are no real practical applications.  It is mainly methodological and incremental and it is at best a small potential contribution to a very secondary aspect of the much more impactful research question. </t>
  </si>
  <si>
    <t>Section</t>
  </si>
  <si>
    <t>Questions Group</t>
  </si>
  <si>
    <t>Groupings</t>
  </si>
  <si>
    <t>Role</t>
  </si>
  <si>
    <t>New #</t>
  </si>
  <si>
    <t>List</t>
  </si>
  <si>
    <t>Question Long</t>
  </si>
  <si>
    <t>I.1</t>
  </si>
  <si>
    <t>Power system evolution with high IBR shares</t>
  </si>
  <si>
    <t>Future of MW balance in low-inertia power systems</t>
  </si>
  <si>
    <t>Core</t>
  </si>
  <si>
    <t>New protection systems for high IBR penetration</t>
  </si>
  <si>
    <t>Point to exploit wider flexibility and stop SM replication</t>
  </si>
  <si>
    <t>DER_CC</t>
  </si>
  <si>
    <t>I.2</t>
  </si>
  <si>
    <t>IBR design standards and capabilities</t>
  </si>
  <si>
    <t>Appropriate inverter capabilities</t>
  </si>
  <si>
    <t>DER_Services</t>
  </si>
  <si>
    <t>Standard behaviors of IBRs in certain freq. ranges</t>
  </si>
  <si>
    <t>Impedance requirements on IBR to control negative sequence</t>
  </si>
  <si>
    <t>Services</t>
  </si>
  <si>
    <t>St.2</t>
  </si>
  <si>
    <t>Methods for planning and operation of low-inertia systems</t>
  </si>
  <si>
    <t>Methods and analysis to identify the risk of poorly damped IBR induced oscillations</t>
  </si>
  <si>
    <t>Adjacent</t>
  </si>
  <si>
    <t>Methods and tools for planners for robust system performance assessment</t>
  </si>
  <si>
    <t>Methods and tools to mitigate stability problems using mix of GFM and GFL</t>
  </si>
  <si>
    <t>Fidelity in IBR and grid models to assess system stability</t>
  </si>
  <si>
    <t>SS.2</t>
  </si>
  <si>
    <t>Services design</t>
  </si>
  <si>
    <t>How restoration systems should be structured in IBR dominated grids</t>
  </si>
  <si>
    <t>How to structure system services</t>
  </si>
  <si>
    <t>Voltage control and system strength services</t>
  </si>
  <si>
    <t>Quantification of IBR ability to provide reliability services</t>
  </si>
  <si>
    <t>Frequency control services structure</t>
  </si>
  <si>
    <t>St.1</t>
  </si>
  <si>
    <t>Tools for real-time operation of IBR dominated systems</t>
  </si>
  <si>
    <t>Approaches to track IBR dynamic responses and detect emerging stability problems</t>
  </si>
  <si>
    <t>C.3</t>
  </si>
  <si>
    <t>Security assessment</t>
  </si>
  <si>
    <t>Incorporation of HILP events into security assessments in real time operations planning</t>
  </si>
  <si>
    <t>Metrics and their definitions that can be monitored to assess system dynamic behaviour</t>
  </si>
  <si>
    <t>P.2</t>
  </si>
  <si>
    <t>Resource Adequacy</t>
  </si>
  <si>
    <t>Studies and metrics to identify long term scarcity of capacity</t>
  </si>
  <si>
    <t>Sufficient black-start capacity considerations in long term reliability studies</t>
  </si>
  <si>
    <t>Technical models to be added to resource adequacy to consider other reliability services</t>
  </si>
  <si>
    <t>Studies and metrics to evaluate resource adequacy</t>
  </si>
  <si>
    <t>D3</t>
  </si>
  <si>
    <t>Bulk system services</t>
  </si>
  <si>
    <t>Aggregation of DER for planning models</t>
  </si>
  <si>
    <t>Quantification of DER for transmission level services</t>
  </si>
  <si>
    <t>Valuation of DER services at transmission level</t>
  </si>
  <si>
    <t>P.1</t>
  </si>
  <si>
    <t>Planning under uncertainty</t>
  </si>
  <si>
    <t>Additional probabilistic planning methods for planning with high shares of IBRs (VRE)</t>
  </si>
  <si>
    <t>Planning models and methods for increased uncertainty w/ electrification and IBRs/DERs</t>
  </si>
  <si>
    <t>Changes into transmission (and inter-regional) planning to accommodate new drives of uncertainty for multi-value benefits</t>
  </si>
  <si>
    <t>Models and methods to quantify the need of long duration energy storage</t>
  </si>
  <si>
    <t>Load and resource forecasting models for transport and building electrification</t>
  </si>
  <si>
    <t>P.3</t>
  </si>
  <si>
    <t>Extreme events</t>
  </si>
  <si>
    <t>Methods, tools, and metrics to incorporate resiliency concepts and recovery from adverse conditions</t>
  </si>
  <si>
    <t>Extreme events incorporation into planning, particularly for systems with high shares of flexible resources</t>
  </si>
  <si>
    <t xml:space="preserve">Models and methods to plan system to withstand expected/unexpected llulls in the weather </t>
  </si>
  <si>
    <t>D1</t>
  </si>
  <si>
    <t>DER Aggregation, measurement &amp; control</t>
  </si>
  <si>
    <t>Quantities to be monitored to ensure reliable service provision from DER</t>
  </si>
  <si>
    <t>Communication capability to monitor and control DER</t>
  </si>
  <si>
    <t>D2</t>
  </si>
  <si>
    <t>Data and control architecture</t>
  </si>
  <si>
    <t>Data architecture to monitor DER in real time</t>
  </si>
  <si>
    <t>Types of control architectures for DER</t>
  </si>
  <si>
    <t>C.1</t>
  </si>
  <si>
    <t>Flexibility assessment</t>
  </si>
  <si>
    <t>Integration of GETs into operational decision-making process</t>
  </si>
  <si>
    <t>Grid topology flexiblity into the operational decision-making process</t>
  </si>
  <si>
    <t>Applications to assess flexibility from all resources on all grid levels to address uncertainty</t>
  </si>
  <si>
    <t>C.2</t>
  </si>
  <si>
    <t>Data and digital architecture</t>
  </si>
  <si>
    <t>Digitial architecture to enable software for real-time, near real-time and auto pilot model</t>
  </si>
  <si>
    <t>Best way to integrate large data sets to create actionable operational insights</t>
  </si>
  <si>
    <t>C.4</t>
  </si>
  <si>
    <t>Visualization</t>
  </si>
  <si>
    <t>Visualization methodologies to support decision-making in real-time operations</t>
  </si>
  <si>
    <t>C.5</t>
  </si>
  <si>
    <t>Forecasting</t>
  </si>
  <si>
    <t>Incorporation of probabilistic forecasting techniques into decission support tools</t>
  </si>
  <si>
    <t>SS.1</t>
  </si>
  <si>
    <t>System needs</t>
  </si>
  <si>
    <t>Overlaping of system needs timescales and required services</t>
  </si>
  <si>
    <t>What are the needs of a power system expressed in technology neutral form</t>
  </si>
  <si>
    <t>How can system performance requirements be translated into new technology solutions</t>
  </si>
  <si>
    <t>Feasibility, cost and limitations to provide services with IBR</t>
  </si>
  <si>
    <t>Source_Index</t>
  </si>
  <si>
    <t>Program</t>
  </si>
  <si>
    <t>assigned to</t>
  </si>
  <si>
    <t>batch</t>
  </si>
  <si>
    <t>Abstract_Cleaned</t>
  </si>
  <si>
    <t>Abdelrahman</t>
  </si>
  <si>
    <t>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t>
  </si>
  <si>
    <t>Characteristic Investigation and Overvoltage Suppression of MMC-HVDC Integrated Offshore Wind Farms Under Onshore Valve-Side SPG Fault</t>
  </si>
  <si>
    <t>The valve-side ground fault in the converter station of modular multilevel converter based high voltage direct current (MMC-HVDC) is a serious threat to the security of power systems. Hence, this paper analyzes the most common single-phase-to-ground (SPG) fault characteristics of valve-side faults in onshore converter stations of MMC-HVDC integrated offshore wind farms. The propagation and impact mechanism of onshore SPG fault to offshore HVDC transmission lines, offshore converter station, and wind farms are deduced based on the MMC control principle. Furthermore, an overvoltage suppression strategy based on zero-sequence voltage modulation is proposed. The effect mechanism of this strategy on the transient stability of the system is analyzed. The key parameter of the proposed strategy is also designed considering both the practical engineering requirements and the impact of the system operation. Finally, the theoretical analysis of fault characteristics and the proposed overvoltage suppression strategy are verified by the PSCAD/EMTDC simulation platform. Simulation results not only show good agreement with the theoretical analysis of the fault characteristics, but also prove the effectiveness of the proposed overvoltage suppression strategy.</t>
  </si>
  <si>
    <t>the valve-side ground fault in the converter station of modular multilevel converter based high voltage direct current (mmc-hvdc) is a serious threat to the security of power systems. hence, this paper analyzes the most common single-phase-to-ground (spg) fault characteristics of valve-side faults in onshore converter stations of mmc-hvdc integrated offshore wind farms. the propagation and impact mechanism of onshore spg fault to offshore hvdc transmission lines, offshore converter station, and wind farms are deduced based on the mmc control principle. furthermore, an overvoltage suppression strategy based on zero-sequence voltage modulation is proposed. the effect mechanism of this strategy on the transient stability of the system is analyzed. the key parameter of the proposed strategy is also designed considering both the practical engineering requirements and the impact of the system operation. finally, the theoretical analysis of fault characteristics and the proposed overvoltage suppression strategy are verified by the pscad/emtdc simulation platform. simulation results not only show good agreement with the theoretical analysis of the fault characteristics, but also prove the effectiveness of the proposed overvoltage suppression strategy.</t>
  </si>
  <si>
    <t>Adaptive Stability Contingency Screening for Operational Planning Based on Domain-Adversarial Graph Neural Network</t>
  </si>
  <si>
    <t>Compared to contingency screening (CS) techniques that focus on thermal/voltage limit violation, CS that addresses the transient and small-signal stability contingencies in the existing references requires a higher computational cost, limiting its use to off-line contingency analysis. Therefore, it poses the challenge of developing an effective CS scheme for fast recognition of critical contingency, which is one of the major concerns of system operators. To deal with this problem, this article proposes an adaptive stability CS (SCS) scheme for operational planning. One challenge in developing the adaptive SCS for different cardinal points is data distribution discrepancy resulted from load/topology changes. To align data distribution between different domains (i.e., cardinal points), a domain-adversarial graph neural network (DAGNN) is developed to learn the domain-invariant features, so that the DAGNN model trained on the labeled source domain (e.g., peak cardinal point 2B) data can be applied to the unlabeled target domain (e.g., trough cardinal point 1B) data for SCS. To make the proposed SCS more efficient in dealing with power system data, a graph learning approach combined with graph transformer and graph isomorphism network is used in DAGNN to provide feature representations considering the graph properties of power systems, where nodes and edges refer to buses and transmission lines, respectively. Experiments on IEEE 39 Bus system and IEEE 118 Bus system have verified the effectiveness of the proposed model.</t>
  </si>
  <si>
    <t>compared to contingency screening (cs) techniques that focus on thermal/voltage limit violation, cs that addresses the transient and small-signal stability contingencies in the existing references requires a higher computational cost, limiting its use to off-line contingency analysis. therefore, it poses the challenge of developing an effective cs scheme for fast recognition of critical contingency, which is one of the major concerns of system operators. to deal with this problem, this article proposes an adaptive stability cs (scs) scheme for operational planning. one challenge in developing the adaptive scs for different cardinal points is data distribution discrepancy resulted from load/topology changes. to align data distribution between different domains (i.e., cardinal points), a domain-adversarial graph neural network (dagnn) is developed to learn the domain-invariant features, so that the dagnn model trained on the labeled source domain (e.g., peak cardinal point 2b) data can be applied to the unlabeled target domain (e.g., trough cardinal point 1b) data for scs. to make the proposed scs more efficient in dealing with power system data, a graph learning approach combined with graph transformer and graph isomorphism network is used in dagnn to provide feature representations considering the graph properties of power systems, where nodes and edges refer to buses and transmission lines, respectively. experiments on ieee 39 bus system and ieee 118 bus system have verified the effectiveness of the proposed model.</t>
  </si>
  <si>
    <t>Virtual Prosumers P2P Transaction Based Distribution Network Expansion Planning</t>
  </si>
  <si>
    <t>The deployment of prosumers with distributed energy resources (DERs) has facilitated the prosumer-centric transactive market, giving rise to the consequent necessity for the coordination between prosumers and the distribution networks. This paper proposes an incentive-based expansion planning method considering virtual peer-to-peer (P2P) transaction among prosumers, which is characterized as a tri-level planning-operation-transaction framework. Each prosumer optimizes its internal response of DERs and external P2P transaction jointly, formulating virtual P2P transaction. Under such a paradigm, the distribution company (DISCO) identifies the optimal expansion planning in the network assets, while the independent distribution system operator (IDSO) is responsible for the optimal operation of the expanded distribution networks. To derive appropriate incentives for each prosumer, the DISCO and IDSO allocate long-term investment network charges and short-term operation network charges on prosumers, along with the designed financial transmission rights coupling multiple time scales. Through such incentives, self-profit driven virtual transactions can relieve operation problems and postpone expansion planning, acting as a short-term alternative. Moreover, a risk-based approach is proposed for prosumer to flexibly change strategy according to different risk preference. Finally, results from the case study demonstrate the superiority and effectiveness of the proposed method in the collaborative application of virtual transaction in the expansion planning.</t>
  </si>
  <si>
    <t>DER_System_Services</t>
  </si>
  <si>
    <t>the deployment of prosumers with distributed energy resources (ders) has facilitated the prosumer-centric transactive market, giving rise to the consequent necessity for the coordination between prosumers and the distribution networks. this paper proposes an incentive-based expansion planning method considering virtual peer-to-peer (p2p) transaction among prosumers, which is characterized as a tri-level planning-operation-transaction framework. each prosumer optimizes its internal response of ders and external p2p transaction jointly, formulating virtual p2p transaction. under such a paradigm, the distribution company (disco) identifies the optimal expansion planning in the network assets, while the independent distribution system operator (idso) is responsible for the optimal operation of the expanded distribution networks. to derive appropriate incentives for each prosumer, the disco and idso allocate long-term investment network charges and short-term operation network charges on prosumers, along with the designed financial transmission rights coupling multiple time scales. through such incentives, self-profit driven virtual transactions can relieve operation problems and postpone expansion planning, acting as a short-term alternative. moreover, a risk-based approach is proposed for prosumer to flexibly change strategy according to different risk preference. finally, results from the case study demonstrate the superiority and effectiveness of the proposed method in the collaborative application of virtual transaction in the expansion planning.</t>
  </si>
  <si>
    <t>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t>
  </si>
  <si>
    <t>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t>
  </si>
  <si>
    <t>Electromechanical Transient Modeling of the Low-Frequency AC System With Modular Multilevel Matrix Converter Stations</t>
  </si>
  <si>
    <t>This paper studies the electromechanical transient modeling of a low-frequency AC (LFAC) system with modular multilevel matrix converter (M3C) stations. Firstly, the mathematical model of the M3C and its equivalent circuits are established. Then, an iterative power flow calculation algorithm for AC systems integrated with the M3C-LFAC system is developed. The dynamic model of the M3C for electromechanical transient simulation is studied and implemented in PSS/E. Based on a test system consisting of two asynchronous AC systems with an embedded M3C-LFAC system, comparisons between the electromechanical transient simulation results from PSS/E and the electromagnetic transient simulation results from PSCAD are conducted. The results from PSS/E and PSCAD coincide with each other well, and the validity of the established electromechanical transient model is proved. Lastly, a stability study of a modified New England 39-bus system with an embedded M3C-LFAC system is executed, and the characteristics of the M3C-LFAC system are presented.</t>
  </si>
  <si>
    <t>this paper studies the electromechanical transient modeling of a low-frequency ac (lfac) system with modular multilevel matrix converter (m3c) stations. firstly, the mathematical model of the m3c and its equivalent circuits are established. then, an iterative power flow calculation algorithm for ac systems integrated with the m3c-lfac system is developed. the dynamic model of the m3c for electromechanical transient simulation is studied and implemented in pss/e. based on a test system consisting of two asynchronous ac systems with an embedded m3c-lfac system, comparisons between the electromechanical transient simulation results from pss/e and the electromagnetic transient simulation results from pscad are conducted. the results from pss/e and pscad coincide with each other well, and the validity of the established electromechanical transient model is proved. lastly, a stability study of a modified new england 39-bus system with an embedded m3c-lfac system is executed, and the characteristics of the m3c-lfac system are presented.</t>
  </si>
  <si>
    <t>Topology diagrams are widely seen in power system applications, but their automatic generation is often easier said than done. When facing power transmission systems with strongly-meshed structures, existing approaches can hardly produce topology diagrams catering to the aesthetics of readers. This paper proposes an integrated framework for generating aesthetically-pleasing topology diagrams for power transmission systems. Input with a rough layout, the framework first conducts visibility region analysis to reduce line crossings and then solves a mixed-integer linear programming problem to optimize the arrangement of nodes. Given that the complexity of both modules is pretty high, simplification heuristics are also proposed to enhance the efficiency of the framework. Case studies on several power transmission systems containing up to 2,046 nodes demonstrate the capability of the proposed framework in generating topology diagrams conforming to aesthetic criteria in the power system community. Compared with the widespread force-directed algorithm, the proposed framework can preserve the relative positions of nodes in the original layout to a great extent, which significantly contributes to the identification of electrical elements on the diagrams. Meanwhile, the time consumption is acceptable for practical applications.</t>
  </si>
  <si>
    <t>topology diagrams are widely seen in power system applications, but their automatic generation is often easier said than done. when facing power transmission systems with strongly-meshed structures, existing approaches can hardly produce topology diagrams catering to the aesthetics of readers. this paper proposes an integrated framework for generating aesthetically-pleasing topology diagrams for power transmission systems. input with a rough layout, the framework first conducts visibility region analysis to reduce line crossings and then solves a mixed-integer linear programming problem to optimize the arrangement of nodes. given that the complexity of both modules is pretty high, simplification heuristics are also proposed to enhance the efficiency of the framework. case studies on several power transmission systems containing up to 2,046 nodes demonstrate the capability of the proposed framework in generating topology diagrams conforming to aesthetic criteria in the power system community. compared with the widespread force-directed algorithm, the proposed framework can preserve the relative positions of nodes in the original layout to a great extent, which significantly contributes to the identification of electrical elements on the diagrams. meanwhile, the time consumption is acceptable for practical applications.</t>
  </si>
  <si>
    <t>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t>
  </si>
  <si>
    <t>System_Services</t>
  </si>
  <si>
    <t>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t>
  </si>
  <si>
    <t>Energy storage (ES) is a kind of promising but costly fast-frequency-response (FFR) resource in low-inertia power systems. This article addresses the minimum demand of a power system for energy capacities of ES to providing sufficient frequency support, including the formulation, the optimal solution, and its practical implementation. First, the minimum energy control problem of ESs for providing FFR with transient frequency constraints is formulated and then converted into an optimal frequency trajectory planning counterpart. This transformation makes the transient frequency constraint tractable and allows to identify the optimal frequency trajectory that minimizes energy demand for ESs, which leads to an analytical expression of the system minimum demand for ESs energy capacities to ensure frequency security. Moreover, by unfolding the optimal frequency trajectory, the optimal control strategy of ESs is derived explicitly for the first time. The theoretical result directs to a practical controller implementation, which is referred to as the decentralized optimal energy frequency control (DOEFC). Finally, simulations on the modified IEEE 39-bus system verify our results and demonstrate the superiority of the DOEFC in reducing the energy capacity demand of ESs, defending successive disturbances, and hedging against parameter errors.</t>
  </si>
  <si>
    <t>energy storage (es) is a kind of promising but costly fast-frequency-response (ffr) resource in low-inertia power systems. this article addresses the minimum demand of a power system for energy capacities of es to providing sufficient frequency support, including the formulation, the optimal solution, and its practical implementation. first, the minimum energy control problem of ess for providing ffr with transient frequency constraints is formulated and then converted into an optimal frequency trajectory planning counterpart. this transformation makes the transient frequency constraint tractable and allows to identify the optimal frequency trajectory that minimizes energy demand for ess, which leads to an analytical expression of the system minimum demand for ess energy capacities to ensure frequency security. moreover, by unfolding the optimal frequency trajectory, the optimal control strategy of ess is derived explicitly for the first time. the theoretical result directs to a practical controller implementation, which is referred to as the decentralized optimal energy frequency control (doefc). finally, simulations on the modified ieee 39-bus system verify our results and demonstrate the superiority of the doefc in reducing the energy capacity demand of ess, defending successive disturbances, and hedging against parameter errors.</t>
  </si>
  <si>
    <t>Reduced-Order Model for Wind-Solar Multi-Microgrids Considering Time-Scale Coupling</t>
  </si>
  <si>
    <t>A computationally efficient and accurate reduced-order model (ROM) that characterizes the time-scale coupling caused by the high penetration of power-electronic converters in microgrids (MGs) is crucial to system stability analysis. When such MGs are interconnected into multi-microgrids (MMGs), the coupling between fast and slow dynamics will be more complicated due to the interactions among each MG. The traditional ROM without concerning dynamic coupling may lead to low accuracy and even misjudgment of system stability. In this paper, by considering primary energy dynamics of renewable energy sources, e.g., doubly-fed induction generator (DFIG) and photovoltaic (PV), a small-signal model that characterizes the practical multi-timescale of MMGs is firstly presented. Then with the division of the entire MMGs into fast and slow dynamic subsystems based on the assumption of time-scale separating, the coupling dynamics are identified via the residues-based method. Finally, a ROM considering coupling dynamics and preserving physical meaning is proposed by reconfiguring the fast and slow dynamic subsystems based on singular perturbation. The accuracy of the proposed ROM is verified by comparing it with the detailed model under different control parameters, wind speeds and irradiance conditions. The time-domain simulation is employed to validate the dynamic response of the proposed ROM.</t>
  </si>
  <si>
    <t>a computationally efficient and accurate reduced-order model (rom) that characterizes the time-scale coupling caused by the high penetration of power-electronic converters in microgrids (mgs) is crucial to system stability analysis. when such mgs are interconnected into multi-microgrids (mmgs), the coupling between fast and slow dynamics will be more complicated due to the interactions among each mg. the traditional rom without concerning dynamic coupling may lead to low accuracy and even misjudgment of system stability. in this paper, by considering primary energy dynamics of renewable energy sources, e.g., doubly-fed induction generator (dfig) and photovoltaic (pv), a small-signal model that characterizes the practical multi-timescale of mmgs is firstly presented. then with the division of the entire mmgs into fast and slow dynamic subsystems based on the assumption of time-scale separating, the coupling dynamics are identified via the residues-based method. finally, a rom considering coupling dynamics and preserving physical meaning is proposed by reconfiguring the fast and slow dynamic subsystems based on singular perturbation. the accuracy of the proposed rom is verified by comparing it with the detailed model under different control parameters, wind speeds and irradiance conditions. the time-domain simulation is employed to validate the dynamic response of the proposed rom.</t>
  </si>
  <si>
    <t>A Bidirectional Virtual Inertia Control Strategy for the Interconnected Converter of Standalone AC/DC Hybrid Microgrids</t>
  </si>
  <si>
    <t>The interconnected converter (IC) links the ac and dc microgrids (MGs) and exchanges powers to maintain the hybrid system stability. However, inertia stored in the ac or dc side cannot be transferred through IC to support each other flexibly according to demand. This article proposes a novel bidirectional virtual inertia (BVI) control strategy for the IC with an inertia transferring mechanism. IC actively transfers the inertial power to balance the transient performance of both sides of the interconnected MGs. The adaptive strategy is proposed for coefficients of the BVI control to change the inertial power flexibly according to the inertia gap caused by disturbances. Experimental results demonstrate that the proposed strategy of transferring inertia strikes a transient balance between the dc voltage and ac frequency and hence, enhance the transient stability of the hybrid system.</t>
  </si>
  <si>
    <t>the interconnected converter (ic) links the ac and dc microgrids (mgs) and exchanges powers to maintain the hybrid system stability. however, inertia stored in the ac or dc side cannot be transferred through ic to support each other flexibly according to demand. this article proposes a novel bidirectional virtual inertia (bvi) control strategy for the ic with an inertia transferring mechanism. ic actively transfers the inertial power to balance the transient performance of both sides of the interconnected mgs. the adaptive strategy is proposed for coefficients of the bvi control to change the inertial power flexibly according to the inertia gap caused by disturbances. experimental results demonstrate that the proposed strategy of transferring inertia strikes a transient balance between the dc voltage and ac frequency and hence, enhance the transient stability of the hybrid system.</t>
  </si>
  <si>
    <t>Accurate wind power forecast (WPF) is critical for ensuring secure and economic operation of a power system, and combination forecasting approaches for WPF have been proved effective on attaining accurate forecasting results. However, the weights in a combination forecasting model are usually predetermined based on the global performance on the training set, limiting the adaptability of the model to different scenarios. To further enhance the accuracy and effectiveness of the combination forecasting approaches, this article proposes an adaptive weighted combination forecasting approach based on the deep deterministic policy gradient (DDPG) so as to consider the local behavior accompanied by the change of external environment. Three sub-models are first selected considering the equal-likelihood and dispersion indices to construct a combination model. Then, the DDPG agent is trained to act as a weight generator by interacting with the environment and to maximize the reward. Thus, the DDPG agent can perceive the environmental changes online and dynamically weight the sub-models to attain accurate forecasting results. Case studies demonstrate that the forecasting accuracy of the proposed approach is better than that of all sub-models and several benchmark combination forecasting approaches.</t>
  </si>
  <si>
    <t>accurate wind power forecast (wpf) is critical for ensuring secure and economic operation of a power system, and combination forecasting approaches for wpf have been proved effective on attaining accurate forecasting results. however, the weights in a combination forecasting model are usually predetermined based on the global performance on the training set, limiting the adaptability of the model to different scenarios. to further enhance the accuracy and effectiveness of the combination forecasting approaches, this article proposes an adaptive weighted combination forecasting approach based on the deep deterministic policy gradient (ddpg) so as to consider the local behavior accompanied by the change of external environment. three sub-models are first selected considering the equal-likelihood and dispersion indices to construct a combination model. then, the ddpg agent is trained to act as a weight generator by interacting with the environment and to maximize the reward. thus, the ddpg agent can perceive the environmental changes online and dynamically weight the sub-models to attain accurate forecasting results. case studies demonstrate that the forecasting accuracy of the proposed approach is better than that of all sub-models and several benchmark combination forecasting approaches.</t>
  </si>
  <si>
    <t>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t>
  </si>
  <si>
    <t>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t>
  </si>
  <si>
    <t>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t>
  </si>
  <si>
    <t>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t>
  </si>
  <si>
    <t>Practical Methods of Defective Input Feature Correction to Enable Machine Learning in Power Systems</t>
  </si>
  <si>
    <t>In this research work, three practical correction methods are proposed to mitigate the impact of defective input features in power system data measurement for machine learning (ML) applications. A well-trained ML tool may become ineffective due to defective input features, which may originate from measurement issues, such as monitor malfunction, cyberattack, communication failure, or others. It is crucial to correct defective input features to enable ML tools with desirable performances. This letter first introduces the mechanism of three correction methods, i.e., statistical-value-based method, minimal-error-based method, and DNN-based adaptive method. Then, the methods are validated via a deep neural network (DNN) case for power system stability enhancement. Validation results demonstrate that the adaptive method achieves the best performance, enabling the well-trained ML tool with a similar accuracy level to the case of no data defects. Although actual measurements may have various data issues challenging ML applications in power systems, the proposed methods show promise for addressing these challenges.</t>
  </si>
  <si>
    <t>in this research work, three practical correction methods are proposed to mitigate the impact of defective input features in power system data measurement for machine learning (ml) applications. a well-trained ml tool may become ineffective due to defective input features, which may originate from measurement issues, such as monitor malfunction, cyberattack, communication failure, or others. it is crucial to correct defective input features to enable ml tools with desirable performances. this letter first introduces the mechanism of three correction methods, i.e., statistical-value-based method, minimal-error-based method, and dnn-based adaptive method. then, the methods are validated via a deep neural network (dnn) case for power system stability enhancement. validation results demonstrate that the adaptive method achieves the best performance, enabling the well-trained ml tool with a similar accuracy level to the case of no data defects. although actual measurements may have various data issues challenging ml applications in power systems, the proposed methods show promise for addressing these challenges.</t>
  </si>
  <si>
    <t>Increased penetration of renewable resources and new loads have increased the uncertainty levels in low voltage distribution systems (LVDS). This requires considering LVDS planning, such as computing photovoltaics (PV) hosting capacity (HC), as a stochastic problem. Traditionally, PV HC is computed using the iterative Monte Carlo method, which requires solving the power flow equations thousands of times. This paper proposes a chance-constrained optimization-based hosting capacity calculation technique, which eliminates the necessity of repetitive solving of power flow equations. The intrusive general polynomial chaos expansion is used to translate the input uncertainties defined by their probability density function to the hosting capacity of the network without the necessity of sampling, linearizing the power flow equations, or applying any relaxations. Chance constraints are applied for nodal voltages and thermal overload as per the norms, where the system can be congested for a certain time without affecting the power quality. Numerical illustrations show the computational time to compute the stochastic PV hosting capacity of a real large scale LVDS, and for the majority of the feeders, it falls within 100 sec. Furthermore, the estimated PV HC using this stochastic optimal power flow was, on average, 20% higher than its deterministic counterpart.</t>
  </si>
  <si>
    <t>increased penetration of renewable resources and new loads have increased the uncertainty levels in low voltage distribution systems (lvds). this requires considering lvds planning, such as computing photovoltaics (pv) hosting capacity (hc), as a stochastic problem. traditionally, pv hc is computed using the iterative monte carlo method, which requires solving the power flow equations thousands of times. this paper proposes a chance-constrained optimization-based hosting capacity calculation technique, which eliminates the necessity of repetitive solving of power flow equations. the intrusive general polynomial chaos expansion is used to translate the input uncertainties defined by their probability density function to the hosting capacity of the network without the necessity of sampling, linearizing the power flow equations, or applying any relaxations. chance constraints are applied for nodal voltages and thermal overload as per the norms, where the system can be congested for a certain time without affecting the power quality. numerical illustrations show the computational time to compute the stochastic pv hosting capacity of a real large scale lvds, and for the majority of the feeders, it falls within 100 sec. furthermore, the estimated pv hc using this stochastic optimal power flow was, on average, 20% higher than its deterministic counterpart.</t>
  </si>
  <si>
    <t>Proactive participation of uncertain renewable generation in the day-ahead (DA) wholesale market effectively reduces the system marginal price and carbon emissions, whilst significantly increasing the volumes of real-time balancing mechanism prices to ensure system security and stability. To solve the conflicting interests over the two timescales, this article: 1) proposes a novel hierarchical optimization model to align with the actual operation paradigms of the hierarchical market, whereby the capacity allocation matrix is adopted to coordinate the DA and balancing markets; 2) mathematically formulates and quantitatively analyses the long-term driving factors of balancing actions, enabling system operators (SOs) to design efficient and well-functioning market structures to meet economic and environmental targets; 3) empowers renewable generating units and flexible loads to participate in the balancing market (BM) as Ã¢â‚¬ËœactiveÃ¢â‚¬â„¢ actors and enforces the non-discriminatory provision of balancing services. The performance of the proposed model is validated on a modified IEEE 39-bus power system and a reduced GB network. Results reveal that with effective resource allocation in different timescales of the hierarchical market, the drop speed of balancing costs soars while the intermittent generation climbs. The proposed methodology enables SOs to make the most of all resources available in the market and balance the system flexibly and economically. It thus safeguards the climate mitigation pathways against the risks of substantially higher balancing costs.</t>
  </si>
  <si>
    <t>proactive participation of uncertain renewable generation in the day-ahead (da) wholesale market effectively reduces the system marginal price and carbon emissions, whilst significantly increasing the volumes of real-time balancing mechanism prices to ensure system security and stability. to solve the conflicting interests over the two timescales, this article: 1) proposes a novel hierarchical optimization model to align with the actual operation paradigms of the hierarchical market, whereby the capacity allocation matrix is adopted to coordinate the da and balancing markets; 2) mathematically formulates and quantitatively analyses the long-term driving factors of balancing actions, enabling system operators (sos) to design efficient and well-functioning market structures to meet economic and environmental targets; 3) empowers renewable generating units and flexible loads to participate in the balancing market (bm) as active actors and enforces the non-discriminatory provision of balancing services. the performance of the proposed model is validated on a modified ieee 39-bus power system and a reduced gb network. results reveal that with effective resource allocation in different timescales of the hierarchical market, the drop speed of balancing costs soars while the intermittent generation climbs. the proposed methodology enables sos to make the most of all resources available in the market and balance the system flexibly and economically. it thus safeguards the climate mitigation pathways against the risks of substantially higher balancing costs.</t>
  </si>
  <si>
    <t>Online Operational Decision-Making for Integrated Electric-Gas Systems With Safe Reinforcement Learning</t>
  </si>
  <si>
    <t>Increasing interdependencies between power and gas systems and integrating large-scale intermittent renewable energy increase the complexity of energy management problems. This article proposes a model-free safe deep reinforcement learning (DRL) approach to find fast optimal energy flow (OEF), guaranteeing its feasibility in real-time operation with high computational efficiency. A constrained Markov decision process model is standardized for the optimization problem of OEF with a limited number of state and control actions and developing a robust integrated environment. Because state-of-the-art DRL algorithms lack safety guarantees, this article develops a soft-constraint enforcement method to adaptively encourage the control policy in the safety direction with non-conservative control actions. The overall procedure, namely the constrained soft actor-critic (C-SAC) algorithm, is off-policy, entropy maximization-based, sample-efficient, and scalable with low hyper-parameter sensitivity. The proposed C-SAC algorithm validates its superiority over the existing learning-based safety ones and OEF solution methods by finding fast OEF decisions with near-zero degrees of constraint violations. The proposed approach indicates its practicability for real-time energy system operation and extensions for other potential applications.</t>
  </si>
  <si>
    <t>increasing interdependencies between power and gas systems and integrating large-scale intermittent renewable energy increase the complexity of energy management problems. this article proposes a model-free safe deep reinforcement learning (drl) approach to find fast optimal energy flow (oef), guaranteeing its feasibility in real-time operation with high computational efficiency. a constrained markov decision process model is standardized for the optimization problem of oef with a limited number of state and control actions and developing a robust integrated environment. because state-of-the-art drl algorithms lack safety guarantees, this article develops a soft-constraint enforcement method to adaptively encourage the control policy in the safety direction with non-conservative control actions. the overall procedure, namely the constrained soft actor-critic (c-sac) algorithm, is off-policy, entropy maximization-based, sample-efficient, and scalable with low hyper-parameter sensitivity. the proposed c-sac algorithm validates its superiority over the existing learning-based safety ones and oef solution methods by finding fast oef decisions with near-zero degrees of constraint violations. the proposed approach indicates its practicability for real-time energy system operation and extensions for other potential applications.</t>
  </si>
  <si>
    <t>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t>
  </si>
  <si>
    <t>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t>
  </si>
  <si>
    <t>Look-Ahead Rolling Economic Dispatch Approach for Wind-Thermal-Bundled Power System Considering Dynamic Ramping and Flexible Load Transfer Strategy</t>
  </si>
  <si>
    <t>With a wind-thermal-bundled power system (WTBPS) under high wind penetration levels, the sharp power fluctuations of tie-lines for interconnected grids trigger a significant challenge of security-constrained power system operation. Smoothing power fluctuations with economic dispatch is widely concerned against this challenge. In this paper, an appropriate look-ahead economic dispatch framework for WTBPS considering the variable ramp rate of retrofitted coal-fired units and the flexible load transfer strategy (LTS) in high voltage distribution networks (HVDNs) is proposed. To cope with this issue, i) we derive a new family of tightened ramping constraints of retrofitted coal-fired units in the linear and second-order conic (SOC) forms, respectively. ii) Using graph characterization of typical HVDNs, the simplified voltage-constrained LTS via topological structures can be developed. This proposed look-ahead economic dispatch model is cast as a mixed-integer second-order cone programming (MISOCP) problem, which can be reformulated by Multi-cut Generalized Benders Decomposition (MGBD). This MGBD enables multiple sub-problems can be solved in parallel and accelerates the solving process. Finally, simulation results of a large-scale practical system validate the computational accuracy and efficiency of the proposed approach.</t>
  </si>
  <si>
    <t>with a wind-thermal-bundled power system (wtbps) under high wind penetration levels, the sharp power fluctuations of tie-lines for interconnected grids trigger a significant challenge of security-constrained power system operation. smoothing power fluctuations with economic dispatch is widely concerned against this challenge. in this paper, an appropriate look-ahead economic dispatch framework for wtbps considering the variable ramp rate of retrofitted coal-fired units and the flexible load transfer strategy (lts) in high voltage distribution networks (hvdns) is proposed. to cope with this issue, i) we derive a new family of tightened ramping constraints of retrofitted coal-fired units in the linear and second-order conic (soc) forms, respectively. ii) using graph characterization of typical hvdns, the simplified voltage-constrained lts via topological structures can be developed. this proposed look-ahead economic dispatch model is cast as a mixed-integer second-order cone programming (misocp) problem, which can be reformulated by multi-cut generalized benders decomposition (mgbd). this mgbd enables multiple sub-problems can be solved in parallel and accelerates the solving process. finally, simulation results of a large-scale practical system validate the computational accuracy and efficiency of the proposed approach.</t>
  </si>
  <si>
    <t>Coordinated dispatch of integrated transmission-distribution systems (ITDs) continues to be a hotspot due to the growing demand-side flexibility. Decentralized optimization, which has been widely studied, does not conform to the current hierarchical framework of power system operation. This paper proposes a centralized distributionally robust chance-constrained dispatch model for ITDs. The transmission system operator considers the flexible ranges of large-scale distributed energy resources (DERs) in distribution systems via flexibility aggregation. A price-guided flexibility model is proposed to describe the temporally coupled aggregate flexibility of distribution systems. It is constructed by filtering those constraints with a high probability of activeness in the ITD dispatch problem, reducing the number of constraints from quadratic to linear with the number of divided time slots while maintaining high accuracy. Furthermore, we use the data-driven distributionally robust chance constraint to deal with the uncertainty from both renewable generations and the flexibility of DERs. Numerical simulations on IEEE test systems verify the effectiveness of the proposed methods.</t>
  </si>
  <si>
    <t>coordinated dispatch of integrated transmission-distribution systems (itds) continues to be a hotspot due to the growing demand-side flexibility. decentralized optimization, which has been widely studied, does not conform to the current hierarchical framework of power system operation. this paper proposes a centralized distributionally robust chance-constrained dispatch model for itds. the transmission system operator considers the flexible ranges of large-scale distributed energy resources (ders) in distribution systems via flexibility aggregation. a price-guided flexibility model is proposed to describe the temporally coupled aggregate flexibility of distribution systems. it is constructed by filtering those constraints with a high probability of activeness in the itd dispatch problem, reducing the number of constraints from quadratic to linear with the number of divided time slots while maintaining high accuracy. furthermore, we use the data-driven distributionally robust chance constraint to deal with the uncertainty from both renewable generations and the flexibility of ders. numerical simulations on ieee test systems verify the effectiveness of the proposed methods.</t>
  </si>
  <si>
    <t>Applying High-Performance Computing to the European Resource Adequacy Assessment</t>
  </si>
  <si>
    <t>This work considers the European Resource Adequacy Assessment, which is a pan-European resource adequacy process that is being developed by the European Networks of Transmission System Operators for Electricity (ENTSO-E). A critical part of this process is the so-called Economic Viability Assessment model, which aims at determining future expansion and retirement capacity opportunities for the entire European network. As such, the problem is stochastic. Nevertheless, due to computational constraints, simplified approaches have been followed by ENTSO-E. Our work formulates the problem as a two-stage stochastic problem and proposes two decomposition algorithms for solving the problem which are implemented in a high-performance computing infrastructure. The first is a subgradient-based algorithm, and the second uses a relaxation of the second stage (the economic dispatch) in order to speed up the subgradient calculation thus achieving a considerable reduction in solution time. We compare our schemes against the commonly used Bender's decomposition. We compare the obtained stochastic solution against the deterministic solution proposed by ENTSO-E for their 2021 study and analyze the impact of the stochastic solution on various adequacy indicators.</t>
  </si>
  <si>
    <t>this work considers the european resource adequacy assessment, which is a pan-european resource adequacy process that is being developed by the european networks of transmission system operators for electricity (entso-e). a critical part of this process is the so-called economic viability assessment model, which aims at determining future expansion and retirement capacity opportunities for the entire european network. as such, the problem is stochastic. nevertheless, due to computational constraints, simplified approaches have been followed by entso-e. our work formulates the problem as a two-stage stochastic problem and proposes two decomposition algorithms for solving the problem which are implemented in a high-performance computing infrastructure. the first is a subgradient-based algorithm, and the second uses a relaxation of the second stage (the economic dispatch) in order to speed up the subgradient calculation thus achieving a considerable reduction in solution time. we compare our schemes against the commonly used benders decomposition. we compare the obtained stochastic solution against the deterministic solution proposed by entso-e for their 2021 study and analyze the impact of the stochastic solution on various adequacy indicators.</t>
  </si>
  <si>
    <t>Optimal Offering of Energy Storage in Electricity Markets With Loop Blocks</t>
  </si>
  <si>
    <t>Electricity market designs involving block orders have been recently gaining momentum, since they enable participants to implicitly express their operating characteristics, instead of explicitly disclosing them to the market operator, and address the effects of the increasing price uncertainty. However, the existing literature on optimizing participants' offering decisions in such markets has focused on generation participants, while it has not considered stand-alone energy storage participants, as well as a new type of block orders which has been specifically introduced to encapsulate the operating characteristics of storage - namely loop blocks (LB). This paper addresses this research gap by proposing a novel optimal offering model for a price-taking storage participant, which allows the representation and optimization of LB, while accounting for the price uncertainty encountered by the storage participant. The value of LB in increasing the storage participant's profitability and the computational performance of the proposed model are comprehensively analyzed, through both illustrative, small-scale (with respect to the number of considered price scenarios) studies and more realistic, large-scale studies considering two different storage technologies (battery storage and pumped-hydro storage).</t>
  </si>
  <si>
    <t>electricity market designs involving block orders have been recently gaining momentum, since they enable participants to implicitly express their operating characteristics, instead of explicitly disclosing them to the market operator, and address the effects of the increasing price uncertainty. however, the existing literature on optimizing participants offering decisions in such markets has focused on generation participants, while it has not considered stand-alone energy storage participants, as well as a new type of block orders which has been specifically introduced to encapsulate the operating characteristics of storage - namely loop blocks (lb). this paper addresses this research gap by proposing a novel optimal offering model for a price-taking storage participant, which allows the representation and optimization of lb, while accounting for the price uncertainty encountered by the storage participant. the value of lb in increasing the storage participants profitability and the computational performance of the proposed model are comprehensively analyzed, through both illustrative, small-scale (with respect to the number of considered price scenarios) studies and more realistic, large-scale studies considering two different storage technologies (battery storage and pumped-hydro storage).</t>
  </si>
  <si>
    <t>False Data Injection Attack and Corresponding Countermeasure in Multienergy Systems</t>
  </si>
  <si>
    <t>Worldwide ambitions to combat climate change have expedited the penetration of renewables and decarbonization. Multienergy systems (MES), where different energy systems are optimally coordinated, have been recognized as a key element in future low-carbon energy operations. However, MES operations involve intense exchanges of information and control signals, thereby intensify the risk of cyberattacks. Existing cybersecurity research mainly focuses on a single-energy system, with only a few pioneering cybersecurity analyses for MES focusing on uncoordinated cyberattacks. A lack of detailed discussion and analysis on the optimally coordinated cyberattack targeting MES prevents operators from accurately evaluating the potential damages of cyberattack in MES operations. Therefore, this article first proposes an optimally coordinated false data injection attack (OC-FDIA) against MES, where attacks from different energy systems are coordinated to disturb the MES operation. Then, we show that the OC-FDIA can cause synergetic effects leading to much more severe damage than single-system FDIAs and uncoordinated FDIAs. Further, an effective countermeasure is developed to mitigate the OC-FDIA based on deep learning (DL). Eventually, the proposed OC-FDIA and its countermeasures are demonstrated through integrated electricity and gas test systems.</t>
  </si>
  <si>
    <t>worldwide ambitions to combat climate change have expedited the penetration of renewables and decarbonization. multienergy systems (mes), where different energy systems are optimally coordinated, have been recognized as a key element in future low-carbon energy operations. however, mes operations involve intense exchanges of information and control signals, thereby intensify the risk of cyberattacks. existing cybersecurity research mainly focuses on a single-energy system, with only a few pioneering cybersecurity analyses for mes focusing on uncoordinated cyberattacks. a lack of detailed discussion and analysis on the optimally coordinated cyberattack targeting mes prevents operators from accurately evaluating the potential damages of cyberattack in mes operations. therefore, this article first proposes an optimally coordinated false data injection attack (oc-fdia) against mes, where attacks from different energy systems are coordinated to disturb the mes operation. then, we show that the oc-fdia can cause synergetic effects leading to much more severe damage than single-system fdias and uncoordinated fdias. further, an effective countermeasure is developed to mitigate the oc-fdia based on deep learning (dl). eventually, the proposed oc-fdia and its countermeasures are demonstrated through integrated electricity and gas test systems.</t>
  </si>
  <si>
    <t>Probabilistic Electricity Price Forecast With Optimal Prediction Interval</t>
  </si>
  <si>
    <t>The uncertainty of electricity prices poses a challenge to all market participants as their decisions highly depend on the accuracy of price forecasts. Prediction intervals become an efficient method to quantify the uncertainties that reside in electricity price forecasts. In this paper, we propose a probabilistic electricity price forecast with optimal prediction interval method that considers both reliability and sharpness requirements. Taking reliability and sharpness into account, we ensure the prediction interval has a narrow width without sacrificing reliability. In the proposed method, the quantile regression is utilized to estimate the upper and lower bounds of the prediction intervals to avoid electricity price distribution assumption. In addition, the extreme learning machine (ELM) method is embedded in the forecast method to capture the nonlinear relationship within price data, and its tuning parameters are optimized using the augmented Lagrangian relaxation method in this paper. The effectiveness of the proposed probabilistic forecast method is demonstrated using data from various electricity markets.</t>
  </si>
  <si>
    <t>the uncertainty of electricity prices poses a challenge to all market participants as their decisions highly depend on the accuracy of price forecasts. prediction intervals become an efficient method to quantify the uncertainties that reside in electricity price forecasts. in this paper, we propose a probabilistic electricity price forecast with optimal prediction interval method that considers both reliability and sharpness requirements. taking reliability and sharpness into account, we ensure the prediction interval has a narrow width without sacrificing reliability. in the proposed method, the quantile regression is utilized to estimate the upper and lower bounds of the prediction intervals to avoid electricity price distribution assumption. in addition, the extreme learning machine (elm) method is embedded in the forecast method to capture the nonlinear relationship within price data, and its tuning parameters are optimized using the augmented lagrangian relaxation method in this paper. the effectiveness of the proposed probabilistic forecast method is demonstrated using data from various electricity markets.</t>
  </si>
  <si>
    <t>Voltage Stability Constrained Economic Dispatch for Multi-Infeed HVDC Power Systems</t>
  </si>
  <si>
    <t>Multi-infeed LCC-HVDC decreases voltage stability margins due to its current source nature. Moreover, the high penetration of variable renewable energy makes it difficult to reserve enough margins for all periods. Therefore, voltage stability constraints need to be considered in the scheduling stage. However, the challenge is that the voltage stability margin is not analytic with respect to state variables. We propose a sparse support vector machine to extract the nonlinear voltage stability rule. To embed the rule into economic dispatch (ED), we apply a convex reformulating technique to the rule and then formulate a voltage stability constrained ED (VSCED) model by semi-definite programming. The model is tested on a modified IEEE-14 system and a real-world system from Jiangsu Province, China; and it is compared with other typical data-driven-based models in the Jiangsu system. The numerical experiments suggest that the stability margins can be effectively reserved above the required threshold within an acceptable computation time by the proposed VSCED model, which outperforms the other models.</t>
  </si>
  <si>
    <t>multi-infeed lcc-hvdc decreases voltage stability margins due to its current source nature. moreover, the high penetration of variable renewable energy makes it difficult to reserve enough margins for all periods. therefore, voltage stability constraints need to be considered in the scheduling stage. however, the challenge is that the voltage stability margin is not analytic with respect to state variables. we propose a sparse support vector machine to extract the nonlinear voltage stability rule. to embed the rule into economic dispatch (ed), we apply a convex reformulating technique to the rule and then formulate a voltage stability constrained ed (vsced) model by semi-definite programming. the model is tested on a modified ieee-14 system and a real-world system from jiangsu province, china; and it is compared with other typical data-driven-based models in the jiangsu system. the numerical experiments suggest that the stability margins can be effectively reserved above the required threshold within an acceptable computation time by the proposed vsced model, which outperforms the other models.</t>
  </si>
  <si>
    <t>A Scalable Approach to Large Scale Risk-Averse Distribution Grid Expansion Planning</t>
  </si>
  <si>
    <t>Distribution grid reliability and resilience has become a major topic of concern for utilities and their regulators. In particular, with the increase in severity of extreme events, utilities are considering major investments in distribution grid assets to mitigate the damage of highly impactful outages. Communicating the overall economic and risk-mitigation benefits of these investments to regulators is an important element of the approval process. Today, industry reliability and resilience planning practices are based largely on methods that do not take explicit account of risk. This paper proposes a practical method for identifying optimal combinations of investments in new line segments and storage devices while considering the balance between the risk associated with high impact and low probability (HILP) events and the reliability related to routine failures. We show that this method can be scaled to address large scale networks and demonstrate its benefits using a Target Feeder from the Commonwealth Edison Reliability Program.</t>
  </si>
  <si>
    <t>Andrey</t>
  </si>
  <si>
    <t>distribution grid reliability and resilience has become a major topic of concern for utilities and their regulators. in particular, with the increase in severity of extreme events, utilities are considering major investments in distribution grid assets to mitigate the damage of highly impactful outages. communicating the overall economic and risk-mitigation benefits of these investments to regulators is an important element of the approval process. today, industry reliability and resilience planning practices are based largely on methods that do not take explicit account of risk. this paper proposes a practical method for identifying optimal combinations of investments in new line segments and storage devices while considering the balance between the risk associated with high impact and low probability (hilp) events and the reliability related to routine failures. we show that this method can be scaled to address large scale networks and demonstrate its benefits using a target feeder from the commonwealth edison reliability program.</t>
  </si>
  <si>
    <t>A Multi-Timescale Coordinated Optimization Framework for Economic Dispatch of Micro-Energy Grid Considering Prediction Error</t>
  </si>
  <si>
    <t>The integration of a large number of renewable energy sources (RES) into the micro-energy grid (MEG) brings certain challenges to its optimal dispatching, especially the impact of RES and load prediction error on optimal dispatching. Therefore, this article proposes a multi-timescale coordinated optimization framework for economic dispatch of MEG considering prediction error, including three stages: day-ahead economic dispatch, intra-day rolling optimization and real-time adjustment. In the day-ahead and intra-day stages, the device's output is solved with the objective of optimal system economy. The MEG is divided into three subsystems in the real-time adjustment stage using distributed model predictive control (DMPC). The subsystems cooperate to correct the intra-day device output, which reduces the complexity of solving system optimization problems. Meanwhile, considering that the prediction horizon in DMPC usually remains constant during the optimization, which affects the control performance of DMPC. This article analyzes the impact of the prediction horizon and control horizon on the control performance of DMPC. Then a DMPC method with adaptive adjustment of the prediction horizon according to the prediction errors of RES and loads power is proposed, which can balance the stability and prediction accuracy of the system. Finally, the case studies verify the feasibility of the proposed strategy.</t>
  </si>
  <si>
    <t>the integration of a large number of renewable energy sources (res) into the micro-energy grid (meg) brings certain challenges to its optimal dispatching, especially the impact of res and load prediction error on optimal dispatching. therefore, this article proposes a multi-timescale coordinated optimization framework for economic dispatch of meg considering prediction error, including three stages: day-ahead economic dispatch, intra-day rolling optimization and real-time adjustment. in the day-ahead and intra-day stages, the devices output is solved with the objective of optimal system economy. the meg is divided into three subsystems in the real-time adjustment stage using distributed model predictive control (dmpc). the subsystems cooperate to correct the intra-day device output, which reduces the complexity of solving system optimization problems. meanwhile, considering that the prediction horizon in dmpc usually remains constant during the optimization, which affects the control performance of dmpc. this article analyzes the impact of the prediction horizon and control horizon on the control performance of dmpc. then a dmpc method with adaptive adjustment of the prediction horizon according to the prediction errors of res and loads power is proposed, which can balance the stability and prediction accuracy of the system. finally, the case studies verify the feasibility of the proposed strategy.</t>
  </si>
  <si>
    <t>Computing Cost Curves of Active Distribution Grids Aggregated Flexibility for TSO-DSO Coordination</t>
  </si>
  <si>
    <t>The letter proposes for the first time a methodology to compute analytical functions approximating the cost curves of active or reactive power aggregated flexibility in the short-term operation of an active distribution system. These piece-wise linear functions can be embedded seamlessly in the tools for flexibility procurement to meet transmission grid security. The methodology tailors AC optimal power flow and power flow calculations to four proposed relevant flexibility provision cases.</t>
  </si>
  <si>
    <t>the letter proposes for the first time a methodology to compute analytical functions approximating the cost curves of active or reactive power aggregated flexibility in the short-term operation of an active distribution system. these piece-wise linear functions can be embedded seamlessly in the tools for flexibility procurement to meet transmission grid security. the methodology tailors ac optimal power flow and power flow calculations to four proposed relevant flexibility provision cases.</t>
  </si>
  <si>
    <t>Situation-Aware Load Restoration Considering Uncertainty and Correlation</t>
  </si>
  <si>
    <t>In order to minimize power supply interruption to customers, power system restoration needs to be performed rapidly after a blackout. With the integration of intermittent renewable energy and flexible loads, power system load patterns are becoming more uncertain. The goal of this article is to tackle the challenging task of developing a secure yet speedy load restoration planning strategy considering load uncertainty. The key is to leverage the real-time measurements of the restored load blocks to refine the statistical knowledge about the unrestored load blocks derived from historical data, such that the load restoration plans can be less conservative without harming security. Specifically, as the restoration process rolls forward and more loads are restored, we use a Kalman filter to update the probability distribution of the unrestored loads using the newly available measurements from the restored loads. With the updated distribution, a rolling-horizon load restoration problem for load-pickup decision making is formulated with given specified confidence levels under frequency, voltage, and power flow constraints. The effectiveness of the proposed method is evaluated through case studies on the IEEE 39-bus test system and the NPCC 140-bus system. Results demonstrate that the proposed method can restore loads more quickly and securely than conventional methods under load uncertainty.</t>
  </si>
  <si>
    <t>in order to minimize power supply interruption to customers, power system restoration needs to be performed rapidly after a blackout. with the integration of intermittent renewable energy and flexible loads, power system load patterns are becoming more uncertain. the goal of this article is to tackle the challenging task of developing a secure yet speedy load restoration planning strategy considering load uncertainty. the key is to leverage the real-time measurements of the restored load blocks to refine the statistical knowledge about the unrestored load blocks derived from historical data, such that the load restoration plans can be less conservative without harming security. specifically, as the restoration process rolls forward and more loads are restored, we use a kalman filter to update the probability distribution of the unrestored loads using the newly available measurements from the restored loads. with the updated distribution, a rolling-horizon load restoration problem for load-pickup decision making is formulated with given specified confidence levels under frequency, voltage, and power flow constraints. the effectiveness of the proposed method is evaluated through case studies on the ieee 39-bus test system and the npcc 140-bus system. results demonstrate that the proposed method can restore loads more quickly and securely than conventional methods under load uncertainty.</t>
  </si>
  <si>
    <t>A Leakage-Current Vectors Fault Location Method for Undersea Observation Networks With Poor Data Quality</t>
  </si>
  <si>
    <t>For undersea observation networks, accurate fault location is required to reduce repair costs and time. A main technical challenge for this task is the presence of poor-quality data caused by the cascading failure from undersea power networks to the sensors and communication networks. This article proposes a leakage-current vector (LCV) based fault location method for the negative-pole DC network to address this issue. LCVs are obtained through the nodal admittance matrix considering the electrodes which react in the seawater to provide the return path for the negative pole. The attribute of LCVs is used to identify the anomalous, corrupted and missing data. A novel KCL-based data imputation method is proposed to correct the LCVs, which are compared with measurements to obtain the fault distance and fault resistance. The simulation model of north-east pacific time-series undersea networked experiments (NEPTUNE) is established in PSCAD/EMTDC to validate the proposed method. The results show a 23% improvement in fault location accuracy compared with data-interpolation-based methods.</t>
  </si>
  <si>
    <t>for undersea observation networks, accurate fault location is required to reduce repair costs and time. a main technical challenge for this task is the presence of poor-quality data caused by the cascading failure from undersea power networks to the sensors and communication networks. this article proposes a leakage-current vector (lcv) based fault location method for the negative-pole dc network to address this issue. lcvs are obtained through the nodal admittance matrix considering the electrodes which react in the seawater to provide the return path for the negative pole. the attribute of lcvs is used to identify the anomalous, corrupted and missing data. a novel kcl-based data imputation method is proposed to correct the lcvs, which are compared with measurements to obtain the fault distance and fault resistance. the simulation model of north-east pacific time-series undersea networked experiments (neptune) is established in pscad/emtdc to validate the proposed method. the results show a 23% improvement in fault location accuracy compared with data-interpolation-based methods.</t>
  </si>
  <si>
    <t>The Most Frequent N-k Line Outages Occur in Motifs That Can Improve Contingency Selection</t>
  </si>
  <si>
    <t>Multiple line outages that occur together show a variety of spatial patterns in the power transmission network. Some of these spatial patterns form network contingency motifs, which we define as the patterns of multiple outages that occur much more frequently than multiple outages chosen randomly from the network. We show that choosing N-k contingencies from these commonly occurring contingency motifs accounts for most of the probability of multiple initiating line outages. This result is demonstrated using historical outage data for two transmission systems. It enables N-k contingency lists that are much more efficient in accounting for the likely multiple initiating outages than exhaustive listing or random selection. The N-k contingency lists constructed from motifs can improve risk estimation in cascading outage simulations and help to confirm utility contingency selection.</t>
  </si>
  <si>
    <t>multiple line outages that occur together show a variety of spatial patterns in the power transmission network. some of these spatial patterns form network contingency motifs, which we define as the patterns of multiple outages that occur much more frequently than multiple outages chosen randomly from the network. we show that choosing n-k contingencies from these commonly occurring contingency motifs accounts for most of the probability of multiple initiating line outages. this result is demonstrated using historical outage data for two transmission systems. it enables n-k contingency lists that are much more efficient in accounting for the likely multiple initiating outages than exhaustive listing or random selection. the n-k contingency lists constructed from motifs can improve risk estimation in cascading outage simulations and help to confirm utility contingency selection.</t>
  </si>
  <si>
    <t>A Perturbation Observer-Based Fast Frequency Support for Low-Inertia Power Grids Through VSC-HVDC Systems</t>
  </si>
  <si>
    <t>Low-inertia power grids could suffer from large frequency excursions under even small power disturbances. When a voltage source converter-based high voltage direct current (VSC-HVDC) system is used to integrate a low-inertia grid into a main grid, an ancillary frequency support service can be provided to the low-inertia grid by the VSC-HVDC system. This paper proposes a perturbation observer-based fast frequency support controller (POFFS) of VSC-HVDC systems to improve the frequency stability of low-inertia power grids. According to the feedback linearization and the high gain observer technique, the perturbation observer of the inverter station is designed to estimate the comprehensive impact of multiple perturbations, including the power disturbances in low-inertia grids, the uncertainty of grid inertia, and unknown nonlinear dynamics. The estimate of the perturbations are further compensated by the feedback control loop to achieve robust frequency regulation. Compared with the conventional frequency controller, the proposed POFFS can provide better frequency support to low-inertia power grids, without requiring an accurate system model and parameters. Two test systems are used to verify the effectiveness of the proposed POFFS.</t>
  </si>
  <si>
    <t>low-inertia power grids could suffer from large frequency excursions under even small power disturbances. when a voltage source converter-based high voltage direct current (vsc-hvdc) system is used to integrate a low-inertia grid into a main grid, an ancillary frequency support service can be provided to the low-inertia grid by the vsc-hvdc system. this paper proposes a perturbation observer-based fast frequency support controller (poffs) of vsc-hvdc systems to improve the frequency stability of low-inertia power grids. according to the feedback linearization and the high gain observer technique, the perturbation observer of the inverter station is designed to estimate the comprehensive impact of multiple perturbations, including the power disturbances in low-inertia grids, the uncertainty of grid inertia, and unknown nonlinear dynamics. the estimate of the perturbations are further compensated by the feedback control loop to achieve robust frequency regulation. compared with the conventional frequency controller, the proposed poffs can provide better frequency support to low-inertia power grids, without requiring an accurate system model and parameters. two test systems are used to verify the effectiveness of the proposed poffs.</t>
  </si>
  <si>
    <t>Synthesis Load Model With Renewable Energy Sources for Transient Stability Studies</t>
  </si>
  <si>
    <t>Increased penetration of renewable energy sources (RES) has brought challenges to load modelling techniques. This paper proposes a synthesis load model with RES (SLMR), and elaborates related industrial practice conducted by China Electric Power Research Institute. Several practical issues are addressed in designing and implementing SLMR, such as load survey and representation of different types of RESs. Besides, three new modelling concerns brought by RESs are novelly addressed in the paper, i.e., aggregation of various RES parameters, consideration of various RES terminal voltage, and additional line loss due to RES response. Parameterization of the SLMR calibrates widely varied node voltage in distribution grid, and aggregates them to one equivalent node. The proposed SLMR is practically applied in industrial works, which is demonstrated in the paper.</t>
  </si>
  <si>
    <t>increased penetration of renewable energy sources (res) has brought challenges to load modelling techniques. this paper proposes a synthesis load model with res (slmr), and elaborates related industrial practice conducted by china electric power research institute. several practical issues are addressed in designing and implementing slmr, such as load survey and representation of different types of ress. besides, three new modelling concerns brought by ress are novelly addressed in the paper, i.e., aggregation of various res parameters, consideration of various res terminal voltage, and additional line loss due to res response. parameterization of the slmr calibrates widely varied node voltage in distribution grid, and aggregates them to one equivalent node. the proposed slmr is practically applied in industrial works, which is demonstrated in the paper.</t>
  </si>
  <si>
    <t>A Linked Swing Contract Market Design With High Renewable Penetration and Battery Firming</t>
  </si>
  <si>
    <t>As renewable generation and energy storage systems become increasingly cost-effective, modern power systems are increasingly reliant on variable energy resources (VERs) to meet demand. However, the variability and uncertainty of VERs' generation require additional flexibility to mitigate their impacts. Unfortunately, the current power market designs rigidly define different power and reserve products, making it difficult to fully recognize and compensate for this flexibility. Furthermore, since the marginal operating costs of the system quickly approach zero, current marginal cost-based market mechanisms struggle to provide price signals that allow independent power producers to make informed decisions about constructing, operating, and retiring plants. To address these issues, this article proposes a new linked electricity market design based on swing contracts for operating power systems with high penetration of VERs and energy storage resources. The feasibility of the proposed approach is demonstrated through study results on the modified IEEE 118-bus test system.</t>
  </si>
  <si>
    <t>as renewable generation and energy storage systems become increasingly cost-effective, modern power systems are increasingly reliant on variable energy resources (vers) to meet demand. however, the variability and uncertainty of vers generation require additional flexibility to mitigate their impacts. unfortunately, the current power market designs rigidly define different power and reserve products, making it difficult to fully recognize and compensate for this flexibility. furthermore, since the marginal operating costs of the system quickly approach zero, current marginal cost-based market mechanisms struggle to provide price signals that allow independent power producers to make informed decisions about constructing, operating, and retiring plants. to address these issues, this article proposes a new linked electricity market design based on swing contracts for operating power systems with high penetration of vers and energy storage resources. the feasibility of the proposed approach is demonstrated through study results on the modified ieee 118-bus test system.</t>
  </si>
  <si>
    <t>Deep penetration of distributed energy resources (DERs) and electric vehicles (EVs) introduce benefits but may cause the overloading of service transformers in distribution networks. Such situations require real-time transformer loading information, where an accurate mapping between smart meters and distribution transformers is a prerequisite, e.g., summing the downstream smart meter consumptions. Due to arbitrary curvature in streets, we propose to employ a density-based clustering based on voltage magnitudes (continuous) and street name (categorical) information. However, a density-based approach may only be able to localize a meter to a street segment. Hence, we use a second-stage spectral clustering with distance along the street (DAS), a novel feature, to obtain meter clusters, each with a common parent transformer. For mapping transformers to meter clusters, we use the nearest cluster center approach based on the location since voltage measurements may not be available at transformers. Moreover, we provide a theoretical guarantee for such an approach. Finally, we illustrate the usefulness of the proposed algorithm on long streets, which is a challenging scenario due to many possible incorrect combinations of meter-transformer mapping. The proposed algorithm has been tested on modified IEEE 8-, $6{9}$-, 123-bus test systems and real distribution feeders from a utility in the Southwestern United States, demonstrating outstanding performance.</t>
  </si>
  <si>
    <t>deep penetration of distributed energy resources (ders) and electric vehicles (evs) introduce benefits but may cause the overloading of service transformers in distribution networks. such situations require real-time transformer loading information, where an accurate mapping between smart meters and distribution transformers is a prerequisite, e.g., summing the downstream smart meter consumptions. due to arbitrary curvature in streets, we propose to employ a density-based clustering based on voltage magnitudes (continuous) and street name (categorical) information. however, a density-based approach may only be able to localize a meter to a street segment. hence, we use a second-stage spectral clustering with distance along the street (das), a novel feature, to obtain meter clusters, each with a common parent transformer. for mapping transformers to meter clusters, we use the nearest cluster center approach based on the location since voltage measurements may not be available at transformers. moreover, we provide a theoretical guarantee for such an approach. finally, we illustrate the usefulness of the proposed algorithm on long streets, which is a challenging scenario due to many possible incorrect combinations of meter-transformer mapping. the proposed algorithm has been tested on modified ieee 8-, 69-, 123-bus test systems and real distribution feeders from a utility in the southwestern united states, demonstrating outstanding performance.</t>
  </si>
  <si>
    <t>Risk-Averse Optimal Combining Forecasts for Renewable Energy Trading Under CVaR Assessment of Forecast Errors</t>
  </si>
  <si>
    <t>Renewable energy producer is often exposed to huge financial losses in some imbalance hours (meaning that the contracted energy in day-ahead market is not equal to the actual output in real time) caused by extremely large forecast error. To address this challenge, this paper integrates the forecast end-user's risk profile into the development of risk-averse combining forecast approach for renewable energy trading. First, the conditional value-at-risk (CVaR) is applied to evaluate the extreme prediction error of combined forecasts. Then, convex optimization models are formulated with the objective of minimizing the mean square error plus the CVaR of large error. Solving our proposed models determines the optimal weights for individual models participating in the combined forecasts. Finally, the value of risk-averse combined forecasts is verified through examining the financial performance of using risk-averse forecasts as inputs of the bidding strategy in renewable energy trading. Case studies on real-world datasets present that our proposed method not only reduces the mean error but also lowers the extreme error. More importantly, it decreases the imbalance energy and cost in renewable energy trading, thus being less exposed to the risk of large financial losses under extreme prediction errors.</t>
  </si>
  <si>
    <t>renewable energy producer is often exposed to huge financial losses in some imbalance hours (meaning that the contracted energy in day-ahead market is not equal to the actual output in real time) caused by extremely large forecast error. to address this challenge, this paper integrates the forecast end-users risk profile into the development of risk-averse combining forecast approach for renewable energy trading. first, the conditional value-at-risk (cvar) is applied to evaluate the extreme prediction error of combined forecasts. then, convex optimization models are formulated with the objective of minimizing the mean square error plus the cvar of large error. solving our proposed models determines the optimal weights for individual models participating in the combined forecasts. finally, the value of risk-averse combined forecasts is verified through examining the financial performance of using risk-averse forecasts as inputs of the bidding strategy in renewable energy trading. case studies on real-world datasets present that our proposed method not only reduces the mean error but also lowers the extreme error. more importantly, it decreases the imbalance energy and cost in renewable energy trading, thus being less exposed to the risk of large financial losses under extreme prediction errors.</t>
  </si>
  <si>
    <t>A Novel Sequence to Sequence Data Modelling Based CNN-LSTM Algorithm for Three Years Ahead Monthly Peak Load Forecasting</t>
  </si>
  <si>
    <t>Long-term load forecasting (LTLF) models play an important role in the strategic planning of power systems around the globe. Obtaining correct decisions on power network expansions or restrictions based on predictions help substantially reduce the power grid infrastructure costs. The classical approach of LTLF is limited to the usage of artificial neural networks (ANN) or regression-based approaches along with a large set of historical electricity load, weather, economy and population data. Considering the drawbacks of classical methods, this article introduces a novel sequence to sequence hybrid convolutional neural network and long short-term memory (CNN-LSTM) model to forecast the monthly peak load for a time horizon of three years. These drawbacks include, lack of sensitivity to changing trends over long time horizons, difficulty of fitting large number of variables and complex relationships, etc. (Velicer and Plummer, 1998). Forecasting time interval plays a key role in LTLF. Therefore, using monthly peak load avoids unnecessary complications while providing all essential information for a good long-term strategical planning. The accuracy of the proposed method is verified by the load data of Ã¢â‚¬Å“New South Wales (NSW)Ã¢â‚¬Â, Australia. The numerical results show that, proposed method has achieved higher prediction accuracy compared to the existing work on long-term load forecasting.</t>
  </si>
  <si>
    <t>long-term load forecasting (ltlf) models play an important role in the strategic planning of power systems around the globe. obtaining correct decisions on power network expansions or restrictions based on predictions help substantially reduce the power grid infrastructure costs. the classical approach of ltlf is limited to the usage of artificial neural networks (ann) or regression-based approaches along with a large set of historical electricity load, weather, economy and population data. considering the drawbacks of classical methods, this article introduces a novel sequence to sequence hybrid convolutional neural network and long short-term memory (cnn-lstm) model to forecast the monthly peak load for a time horizon of three years. these drawbacks include, lack of sensitivity to changing trends over long time horizons, difficulty of fitting large number of variables and complex relationships, etc. (velicer and plummer, 1998). forecasting time interval plays a key role in ltlf. therefore, using monthly peak load avoids unnecessary complications while providing all essential information for a good long-term strategical planning. the accuracy of the proposed method is verified by the load data of new south wales (nsw), australia. the numerical results show that, proposed method has achieved higher prediction accuracy compared to the existing work on long-term load forecasting.</t>
  </si>
  <si>
    <t>Using SHAP Values and Machine Learning to Understand Trends in the Transient Stability Limit</t>
  </si>
  <si>
    <t>Machine learning (ML) for transient stability assessment has gained traction due to the significant increase in computational requirements as renewables connect to power systems. To achieve a high degree of accuracy; black-box ML models are often required Ã¢â‚¬â€œ inhibiting interpretation of predictions and consequently reducing confidence in the use of such methods. This paper proposes the use of SHapley Additive exPlanations (SHAP) Ã¢â‚¬â€œ a unifying interpretability framework based on Shapley values from cooperative game theory Ã¢â‚¬â€œ to provide insights into ML models that are trained to predict critical clearing time (CCT). We use SHAP to obtain explanations of location-specific ML models trained to predict CCT at each busbar on the network. This can provide unique insights into power system variables influencing the entire stability boundary under increasing system complexity and uncertainty. Subsequently, the covariance between a variable of interest and the corresponding SHAP values from each location-specific ML model Ã¢â‚¬â€œ can reveal how a change in that variable impacts the stability boundary throughout the network. Such insights can inform planning and/or operational decisions. The case study provided demonstrates the method using a highly accurate opaque ML algorithm in the IEEE 39-bus test network with Type IV wind generation.</t>
  </si>
  <si>
    <t>machine learning (ml) for transient stability assessment has gained traction due to the significant increase in computational requirements as renewables connect to power systems. to achieve a high degree of accuracy; black-box ml models are often required  inhibiting interpretation of predictions and consequently reducing confidence in the use of such methods. this paper proposes the use of shapley additive explanations (shap)  a unifying interpretability framework based on shapley values from cooperative game theory  to provide insights into ml models that are trained to predict critical clearing time (cct). we use shap to obtain explanations of location-specific ml models trained to predict cct at each busbar on the network. this can provide unique insights into power system variables influencing the entire stability boundary under increasing system complexity and uncertainty. subsequently, the covariance between a variable of interest and the corresponding shap values from each location-specific ml model  can reveal how a change in that variable impacts the stability boundary throughout the network. such insights can inform planning and/or operational decisions. the case study provided demonstrates the method using a highly accurate opaque ml algorithm in the ieee 39-bus test network with type iv wind generation.</t>
  </si>
  <si>
    <t>Distributed Data-Driven Optimization for Voltage Regulation in Distribution Systems</t>
  </si>
  <si>
    <t>This paper proposes a distributed data-driven optimization framework for voltage regulation in distribution systems. The recursive kernel regression and alternating direction method of multipliers (ADMM) are selected to cover the system learning and distributed optimization tasks. The proposed distributed data-driven framework is capable of having a rapid response to system or load changes while considering the operation optimality. Besides, the distributed algorithm parallels the computation tasks and reduces the computational expense of a single agent. To validate the performance of the proposed method, a hypothetical 7-Bus system and the IEEE 123-Bus system are selected to show the effectiveness of the proposed data-driven framework. According to the numerical study results, the proposed method offers great flexibility for selecting customized kernel models for different regions and can effectively improve the system voltage profile in a distributed manner.</t>
  </si>
  <si>
    <t>this paper proposes a distributed data-driven optimization framework for voltage regulation in distribution systems. the recursive kernel regression and alternating direction method of multipliers (admm) are selected to cover the system learning and distributed optimization tasks. the proposed distributed data-driven framework is capable of having a rapid response to system or load changes while considering the operation optimality. besides, the distributed algorithm parallels the computation tasks and reduces the computational expense of a single agent. to validate the performance of the proposed method, a hypothetical 7-bus system and the ieee 123-bus system are selected to show the effectiveness of the proposed data-driven framework. according to the numerical study results, the proposed method offers great flexibility for selecting customized kernel models for different regions and can effectively improve the system voltage profile in a distributed manner.</t>
  </si>
  <si>
    <t>Optimal Sizing and Pricing of Grid-Connected Renewable Power to Ammonia Systems Considering the Limited Flexibility of Ammonia Synthesis</t>
  </si>
  <si>
    <t>Converting renewable energy into ammonia has been recognized as a promising way to realize Ã¢â‚¬Å“green hydrogen substitutionÃ¢â‚¬Â in the chemical industry. However, renewable power to ammonia (RePtA) requires an essential investment in facilities to provide a buffer against the strong volatility of renewable energy and the limited flexibility of ammonia synthesis, which involves the three main stakeholders, namely, power, hydrogen, and ammonia. Therefore, the sizing and pricing of RePtA play a core role in balancing the interest demands of investors. This article proposes an optimal sizing and pricing method for grid-connected RePtA systems planning. First, power to ammonia (P2A) is modeled as a flexible load, especially considering the limited flexibility of ammonia synthesis, which has been verified using real dynamic regulation data. Second, the multi-investor economic (MIE) model is established considering both external and internal trading modes. Then, a two-stage decomposed sizing and pricing method is proposed to solve the problem caused by the strong coupling of planning, operation, and trading. The information gap decision theory (IGDT) method is utilized to handle the uncertainty of renewable generation. Finally, real data from a real-life system in Inner Mongolia are utilized to verify the proposed approach. The results show that the system proposed has an internal rate of return (IRR) of 8.55%, which indicates the practical feasibility of the proposed planning method.</t>
  </si>
  <si>
    <t>converting renewable energy into ammonia has been recognized as a promising way to realize green hydrogen substitution in the chemical industry. however, renewable power to ammonia (repta) requires an essential investment in facilities to provide a buffer against the strong volatility of renewable energy and the limited flexibility of ammonia synthesis, which involves the three main stakeholders, namely, power, hydrogen, and ammonia. therefore, the sizing and pricing of repta play a core role in balancing the interest demands of investors. this article proposes an optimal sizing and pricing method for grid-connected repta systems planning. first, power to ammonia (p2a) is modeled as a flexible load, especially considering the limited flexibility of ammonia synthesis, which has been verified using real dynamic regulation data. second, the multi-investor economic (mie) model is established considering both external and internal trading modes. then, a two-stage decomposed sizing and pricing method is proposed to solve the problem caused by the strong coupling of planning, operation, and trading. the information gap decision theory (igdt) method is utilized to handle the uncertainty of renewable generation. finally, real data from a real-life system in inner mongolia are utilized to verify the proposed approach. the results show that the system proposed has an internal rate of return (irr) of 8.55%, which indicates the practical feasibility of the proposed planning method.</t>
  </si>
  <si>
    <t>Multi-Stage Decision Rules for Power Generation &amp; Storage Investments With Performance Guarantees</t>
  </si>
  <si>
    <t>We develop multi-stage linear decision rules (LDRs) for dynamic power system generation and energy storage investment planning under uncertainty and propose their chance-constrained optimization with performance guarantees. First, the optimized LDRs guarantee operational and carbon policy feasibility of the resulting dynamic investment plan even when the planning uncertainty distribution is ambiguous. Second, the optimized LDRs internalize the tolerance of the system planner towards the stochasticity (variance) of uncertain investment outcomes. They can eventually produce a quasi-deterministic investment plan, which is insensitive to uncertainty (as in deterministic planning) but robust to its realizations (as in stochastic planning). Last, we certify the performance of the optimized LDRs with the bound on their sub-optimality due to their linear functional form. Using this bound, we guarantee that the preference of LDRs over less restrictive Ã¢â‚¬â€œ yet poorly scalable Ã¢â‚¬â€œ scenario-based optimization does not lead to financial losses exceeding this bound. We use a testbed of the U.S. Southeast power system to reveal the trade-offs between the cost, stochasticity, and feasibility of LDR-based investments. We also conclude that the LDR sub-optimality depends on the amount of uncertainty and the tightness of chance constraints on operational, investment and policy variables.</t>
  </si>
  <si>
    <t>we develop multi-stage linear decision rules (ldrs) for dynamic power system generation and energy storage investment planning under uncertainty and propose their chance-constrained optimization with performance guarantees. first, the optimized ldrs guarantee operational and carbon policy feasibility of the resulting dynamic investment plan even when the planning uncertainty distribution is ambiguous. second, the optimized ldrs internalize the tolerance of the system planner towards the stochasticity (variance) of uncertain investment outcomes. they can eventually produce a quasi-deterministic investment plan, which is insensitive to uncertainty (as in deterministic planning) but robust to its realizations (as in stochastic planning). last, we certify the performance of the optimized ldrs with the bound on their sub-optimality due to their linear functional form. using this bound, we guarantee that the preference of ldrs over less restrictive  yet poorly scalable  scenario-based optimization does not lead to financial losses exceeding this bound. we use a testbed of the u.s. southeast power system to reveal the trade-offs between the cost, stochasticity, and feasibility of ldr-based investments. we also conclude that the ldr sub-optimality depends on the amount of uncertainty and the tightness of chance constraints on operational, investment and policy variables.</t>
  </si>
  <si>
    <t>Analytic Deep Learning and Stepwise Integrated Gradients-Based Power System Transient Stability Preventive Control</t>
  </si>
  <si>
    <t>Trajectory sensitivity (TS) is a powerful alternative to linearize strong-nonlinear transient stability patterns. However, due to its incomplete view of an intact power system operational space, it can be readily to drive preventive control to stuck in local stationary solution. To mitigate this issue, an integrated gradient (IG)-based stepwise control method is proposed. The key idea is to develop IG to enable a control sensitivity taking both merits of local and global sensitivity, further help preventive control escape from local stationary points. Particularly, deep belief network (DBN) is firstly utilized to parameterize pattern between transient stability index (TSI) and steady-state dispatches. It is then leveraged to infer IG to linearize transient stability constraints in real-time. Interior point method is employed to solve the linearized model. A stepwise control strategy is finally proposed to adaptively tune the integrated interval of the applied IG, such that the preventive control path can be ensured to follow the trend of improving transient stability. Case studies on two benchmarks show that the proposed method outperforms traditional TS method in terms of efficiency and economy, and provides a promising way to enhance engineering sensitivity methods.</t>
  </si>
  <si>
    <t>trajectory sensitivity (ts) is a powerful alternative to linearize strong-nonlinear transient stability patterns. however, due to its incomplete view of an intact power system operational space, it can be readily to drive preventive control to stuck in local stationary solution. to mitigate this issue, an integrated gradient (ig)-based stepwise control method is proposed. the key idea is to develop ig to enable a control sensitivity taking both merits of local and global sensitivity, further help preventive control escape from local stationary points. particularly, deep belief network (dbn) is firstly utilized to parameterize pattern between transient stability index (tsi) and steady-state dispatches. it is then leveraged to infer ig to linearize transient stability constraints in real-time. interior point method is employed to solve the linearized model. a stepwise control strategy is finally proposed to adaptively tune the integrated interval of the applied ig, such that the preventive control path can be ensured to follow the trend of improving transient stability. case studies on two benchmarks show that the proposed method outperforms traditional ts method in terms of efficiency and economy, and provides a promising way to enhance engineering sensitivity methods.</t>
  </si>
  <si>
    <t>A Capacity Adequacy Mechanism Based on Optional Option and Its Impact on Generation Mix Equilibrium</t>
  </si>
  <si>
    <t>Due to the missing money problem, it is a challenging task to maintain generation capacity adequacy with increasing shares of zero-marginal-cost renewable energy resources. Multiple capacity adequacy mechanisms (CAMs), such as scarcity pricing, capacity payment, capacity market, and reliability option, have been proposed and implemented, each having its own pros and cons. Here, we propose a hybrid CAM called optional option. The hybrid CAM allows scarcity pricing and reliability option to co-exist. Market participants, with diverse degrees of risk aversion and diverse forecasts of future duration of scarcity, can self-select the CAM best suited to themselves. We also present a method to efficiently derive the generation mix equilibrium under the CAM, by using the theory that the profits of all generator types approach zero in the long-term equilibrium. Simulation results show that the proposed CAM enables Pareto improvement by letting market participants be better off than being restricted to only one CAM. The results also show the effectiveness of the algorithm to calculate the generation mix equilibrium.</t>
  </si>
  <si>
    <t>due to the missing money problem, it is a challenging task to maintain generation capacity adequacy with increasing shares of zero-marginal-cost renewable energy resources. multiple capacity adequacy mechanisms (cams), such as scarcity pricing, capacity payment, capacity market, and reliability option, have been proposed and implemented, each having its own pros and cons. here, we propose a hybrid cam called optional option. the hybrid cam allows scarcity pricing and reliability option to co-exist. market participants, with diverse degrees of risk aversion and diverse forecasts of future duration of scarcity, can self-select the cam best suited to themselves. we also present a method to efficiently derive the generation mix equilibrium under the cam, by using the theory that the profits of all generator types approach zero in the long-term equilibrium. simulation results show that the proposed cam enables pareto improvement by letting market participants be better off than being restricted to only one cam. the results also show the effectiveness of the algorithm to calculate the generation mix equilibrium.</t>
  </si>
  <si>
    <t>GRNN-Based Real-Time Fault Chain Prediction</t>
  </si>
  <si>
    <t>This paper proposes a data-driven graphical framework for the real-time search of risky cascading fault chains (${\sf FCs}$). While identifying risky ${\sf FCs}$ is pivotal to alleviating cascading failures, the complex spatio-temporal dependencies among the components of the power system render challenges to modeling and analyzing ${\sf FCs}$. Furthermore, the real-time search of risky ${\sf FCs}$ faces an inherent combinatorial complexity that grows exponentially with the size of the system. The proposed framework leverages the recent advances in graph recurrent neural networks to circumvent the computational complexities of the real-time search of ${\sf FCs}$. The search process is formalized as a partially observable Markov decision process (${\sf POMDP}$), which is subsequently solved via a time-varying graph recurrent neural network (${\sf GRNN}$) that judiciously accounts for the inherent temporal and spatial structures of the data generated by the system. The key features of this structure include (i) leveraging the spatial structure of the data induced by the system topology, (ii) leveraging the temporal structure of data induced by system dynamics, and (iii) efficiently summarizing the system's history in the latent space of the ${\sf GRNN}$. The proposed framework's efficiency is compared to the relevant literature on the IEEE 39-bus New England system and the IEEE 118-bus system.</t>
  </si>
  <si>
    <t>this paper proposes a data-driven graphical framework for the real-time search of risky cascading fault chains (sf fcs). while identifying risky sf fcs is pivotal to alleviating cascading failures, the complex spatio-temporal dependencies among the components of the power system render challenges to modeling and analyzing sf fcs. furthermore, the real-time search of risky sf fcs faces an inherent combinatorial complexity that grows exponentially with the size of the system. the proposed framework leverages the recent advances in graph recurrent neural networks to circumvent the computational complexities of the real-time search of sf fcs. the search process is formalized as a partially observable markov decision process (sf pomdp), which is subsequently solved via a time-varying graph recurrent neural network (sf grnn) that judiciously accounts for the inherent temporal and spatial structures of the data generated by the system. the key features of this structure include (i) leveraging the spatial structure of the data induced by the system topology, (ii) leveraging the temporal structure of data induced by system dynamics, and (iii) efficiently summarizing the systems history in the latent space of the sf grnn. the proposed frameworks efficiency is compared to the relevant literature on the ieee 39-bus new england system and the ieee 118-bus system.</t>
  </si>
  <si>
    <t>Chance-Constrained Pre-Contingency Joint Self- Scheduling of Energy and Reserve in VPP</t>
  </si>
  <si>
    <t>With the increasing penetration of primarily inertia-less distributed energy resources, allowable delay in the fast frequency reserve provision to ensure marginal stability condition can become comparable with the requisite dead-time for fast-switching in a radial power distribution system (PDS) connected to the transmission system. Consequently, the prevailing short-duration load-generation imbalance might propagate as system-wide frequency excursion in the future power system, which traditionally has not been observed. Furthermore, during the fast-switching, some of the fast-acting reserve (FAR) providing local generators remain inaccessible to the bulk power system (BPS). This work has answered the questions of requisite reserve requirements to cater to such events through efficient energy and FAR provision joint-scheduling. Stochasticity of fast-switching, with temporary faults as a use-case, requires modeling of load-generation imbalance and local resource unavailability, vis-ÃƒÂ¡-vis FAR requirement problem, as a chance-constraint. Due to the limited visibility at the BPS level, PDS operators must ensure sufficient FAR availability for a given confidence level of the chance-constraint. Individual chance-constraints are used to ensure mathematical simplicity. Here, the PDS is operated as a virtual power plant (VPP), where the operator can procure resources locally or from the wholesale market with the aim of profit maximization before the contingency occurs. Results show that FAR requirements can influence the local energy schedule and raise energy costs. Furthermore, the confidence level of the chance-constraint can impact overall profitability, and FAR should be scheduled carefully. Comparative analysis with a modified benchmark IEEE 33-node radial test system and a 98-node test system shows the superior performance of the proposed approach. The impact of the limited available FAR is also demonstrated.</t>
  </si>
  <si>
    <t>with the increasing penetration of primarily inertia-less distributed energy resources, allowable delay in the fast frequency reserve provision to ensure marginal stability condition can become comparable with the requisite dead-time for fast-switching in a radial power distribution system (pds) connected to the transmission system. consequently, the prevailing short-duration load-generation imbalance might propagate as system-wide frequency excursion in the future power system, which traditionally has not been observed. furthermore, during the fast-switching, some of the fast-acting reserve (far) providing local generators remain inaccessible to the bulk power system (bps). this work has answered the questions of requisite reserve requirements to cater to such events through efficient energy and far provision joint-scheduling. stochasticity of fast-switching, with temporary faults as a use-case, requires modeling of load-generation imbalance and local resource unavailability, vis--vis far requirement problem, as a chance-constraint. due to the limited visibility at the bps level, pds operators must ensure sufficient far availability for a given confidence level of the chance-constraint. individual chance-constraints are used to ensure mathematical simplicity. here, the pds is operated as a virtual power plant (vpp), where the operator can procure resources locally or from the wholesale market with the aim of profit maximization before the contingency occurs. results show that far requirements can influence the local energy schedule and raise energy costs. furthermore, the confidence level of the chance-constraint can impact overall profitability, and far should be scheduled carefully. comparative analysis with a modified benchmark ieee 33-node radial test system and a 98-node test system shows the superior performance of the proposed approach. the impact of the limited available far is also demonstrated.</t>
  </si>
  <si>
    <t>Multiagent-Based Nonlinear Generalized Minimum Variance Control for Islanded AC Microgrids</t>
  </si>
  <si>
    <t>Voltage regulation, frequency restoration, and reactive/active power sharing are the crucial tasks of the microgrid's secondary control, especially in the islanding operating mode. Because sensors and communication links in a microgrid are subject to noise, it is of paramount value to design a noise-resilient secondary voltage and frequency control. This paper proposes a minimum variance control approach for the secondary control of AC microgrids that can effectively perform noise attenuation, voltage/frequency restoration, and reactive/active power sharing. To this end, the nonlinear generalized minimum variance (NGMV) control approach is introduced to the islanded microgrid's secondary control system. The effectiveness of the proposed control approach is verified by simulating two microgrid test systems in MATLAB.</t>
  </si>
  <si>
    <t>voltage regulation, frequency restoration, and reactive/active power sharing are the crucial tasks of the microgrids secondary control, especially in the islanding operating mode. because sensors and communication links in a microgrid are subject to noise, it is of paramount value to design a noise-resilient secondary voltage and frequency control. this paper proposes a minimum variance control approach for the secondary control of ac microgrids that can effectively perform noise attenuation, voltage/frequency restoration, and reactive/active power sharing. to this end, the nonlinear generalized minimum variance (ngmv) control approach is introduced to the islanded microgrids secondary control system. the effectiveness of the proposed control approach is verified by simulating two microgrid test systems in matlab.</t>
  </si>
  <si>
    <t>A Framework for Analyzing System Loadability With Multiple VSCs Using a Hybrid Model</t>
  </si>
  <si>
    <t>Due to the increasing number of power electronics-based devices in modern power systems, there are concerns about the impact of higher-frequency interactions on system stability. The typically-used algebraic representation of networks fails to capture these newly emergent issues, but dynamically modelling the entire network with differential equations will lead to a prohibitively long simulation time. This paper proposes a computationally-efficient analysis framework to determine the system loadability in power electronics-rich, large networks with the consideration of multiple types of stabilities. The framework developed in this paper identifies the critical network elements based on the eigenvalue sensitivity in order to exploit a hybrid modelling approach. Within the hybrid model, only the critical network portion is modelled dynamically with the rest of the network represented by algebraic equations. Bifurcation theory is used to simultaneously analyze both small-disturbance rotor angle and small-disturbance voltage stability. The results obtained show that the high-frequency interactions are accurately captured with the proposed framework. Additionally, applying this methodology results in a small dimension for the system matrix and a reduction in the computational burden. Two test networks, a three-bus system and the IEEE 39-bus system, are used to illustrate and verify the analysis framework.</t>
  </si>
  <si>
    <t>due to the increasing number of power electronics-based devices in modern power systems, there are concerns about the impact of higher-frequency interactions on system stability. the typically-used algebraic representation of networks fails to capture these newly emergent issues, but dynamically modelling the entire network with differential equations will lead to a prohibitively long simulation time. this paper proposes a computationally-efficient analysis framework to determine the system loadability in power electronics-rich, large networks with the consideration of multiple types of stabilities. the framework developed in this paper identifies the critical network elements based on the eigenvalue sensitivity in order to exploit a hybrid modelling approach. within the hybrid model, only the critical network portion is modelled dynamically with the rest of the network represented by algebraic equations. bifurcation theory is used to simultaneously analyze both small-disturbance rotor angle and small-disturbance voltage stability. the results obtained show that the high-frequency interactions are accurately captured with the proposed framework. additionally, applying this methodology results in a small dimension for the system matrix and a reduction in the computational burden. two test networks, a three-bus system and the ieee 39-bus system, are used to illustrate and verify the analysis framework.</t>
  </si>
  <si>
    <t>Domain of Stability Characterization for Power Systems: A Novel Individual Invariance Method</t>
  </si>
  <si>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</si>
  <si>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</si>
  <si>
    <t>DTformer: An Efficient Digital Twin Model for Loss Measurement in UHVDC Transmission Systems</t>
  </si>
  <si>
    <t>Ultra-high Voltage Direct Current system (UHVDC) can realize long distance transmission, and its loss measurement has great significance for loss reduction and fault diagnosis. Currently, loss measurements can be performed by model-driven and data-driven approaches. However, poor operating conditions can lead to system sensing errors, which can significantly reduce the accuracy and speed of measurement. To deal with this problem, we propose a digital twin architecture and constructs a data-driven learning model. The model, DTformer, is embedded in the digital twin architecture. And it has three remarkable processes: encoder-decoder based random feature extraction, loss measurement transfer learning and knowledge distillation. These processes extract parameter information and topology features from the data of UHVDC. The model has good accuracy, response time and resistance to the missing data. The comparison experiment shows that DTformer outperforms popular feature extraction models with an average decrease of 38.80% in RMSE and 42.82% in MAE, and the best R2 value is closest to 1. The analyses of lightweight and missingness show that the DTformer also has significant response time improvement and missing resistance. Finally, we also implement the visualization of digital twin to enable operators to perform monitoring, computation, analysis and management of UHVDC.</t>
  </si>
  <si>
    <t>ultra-high voltage direct current system (uhvdc) can realize long distance transmission, and its loss measurement has great significance for loss reduction and fault diagnosis. currently, loss measurements can be performed by model-driven and data-driven approaches. however, poor operating conditions can lead to system sensing errors, which can significantly reduce the accuracy and speed of measurement. to deal with this problem, we propose a digital twin architecture and constructs a data-driven learning model. the model, dtformer, is embedded in the digital twin architecture. and it has three remarkable processes: encoder-decoder based random feature extraction, loss measurement transfer learning and knowledge distillation. these processes extract parameter information and topology features from the data of uhvdc. the model has good accuracy, response time and resistance to the missing data. the comparison experiment shows that dtformer outperforms popular feature extraction models with an average decrease of 38.80% in rmse and 42.82% in mae, and the best r2 value is closest to 1. the analyses of lightweight and missingness show that the dtformer also has significant response time improvement and missing resistance. finally, we also implement the visualization of digital twin to enable operators to perform monitoring, computation, analysis and management of uhvdc.</t>
  </si>
  <si>
    <t>Combined Data-Driven and Model-Driven Location of Lightning Strikes: Application to Meshed HVDC Grids</t>
  </si>
  <si>
    <t>This article addresses the low-delay location of faults due to lightning strikes using single-ended measurements in High Voltage Direct Current (HVDC) grids. A combined data-driven and model-driven approach is used to estimate the fault location iteratively. No prior knowledge of the voltage evolution at the fault location is required. Once the first wavefront due to a fault is detected at some observation location of the HVDC grid, the measurements are fed to a model of the propagation of transient waves along the lines. The model is parameterized by the estimated fault location. As a result, a model of the waveform samples starting from the second wavefront is obtained. The measured and modeled waveform samples are then compared to update the estimate of the fault location. The performance of the proposed approach is evaluated via simulations, including field measurements of lightning currents. Typical location accuracy of 300 m is obtained by considering observations performed at 1 MHz over an observation time interval of less than 1.5 ms.</t>
  </si>
  <si>
    <t>this article addresses the low-delay location of faults due to lightning strikes using single-ended measurements in high voltage direct current (hvdc) grids. a combined data-driven and model-driven approach is used to estimate the fault location iteratively. no prior knowledge of the voltage evolution at the fault location is required. once the first wavefront due to a fault is detected at some observation location of the hvdc grid, the measurements are fed to a model of the propagation of transient waves along the lines. the model is parameterized by the estimated fault location. as a result, a model of the waveform samples starting from the second wavefront is obtained. the measured and modeled waveform samples are then compared to update the estimate of the fault location. the performance of the proposed approach is evaluated via simulations, including field measurements of lightning currents. typical location accuracy of 300 m is obtained by considering observations performed at 1 mhz over an observation time interval of less than 1.5 ms.</t>
  </si>
  <si>
    <t>This paper proposes a new time aggregation method that can properly reflect the spatial aspect of the data sources alongside their temporal behaviour when multiple variable energy resources are involved. Each representative period, constructed by the proposed method, can include more than one representative day, which, in itself, represents a group of data sources that are highly associated with each other. It also preserves the spatial relationship among data sources as a whole by constructing a hybrid centroid. Two case studies, each with different data sources and networks, with and without energy storage, are considered for this study. In the second case, we add an storage to reflect the significance of preserving shape of patterns in the representative periods. The duration curves of wind farms' and solar farms' generations, electricity demand, and net demand are used as data-based evaluation indices to compare the performance of the proposed method against other approaches. In addition, an IEEE 24-bus and a 6-bus test system are considered for the case studies. Two model-based evaluation indices are used to measure the performance of the clustering methods, including the power flow of all the lines in the system and the annual operation cost of the system. In addition, the performance of the proposed method in the presence of energy storage is evaluated and compared with existing methods.</t>
  </si>
  <si>
    <t>this paper proposes a new time aggregation method that can properly reflect the spatial aspect of the data sources alongside their temporal behaviour when multiple variable energy resources are involved. each representative period, constructed by the proposed method, can include more than one representative day, which, in itself, represents a group of data sources that are highly associated with each other. it also preserves the spatial relationship among data sources as a whole by constructing a hybrid centroid. two case studies, each with different data sources and networks, with and without energy storage, are considered for this study. in the second case, we add an storage to reflect the significance of preserving shape of patterns in the representative periods. the duration curves of wind farms and solar farms generations, electricity demand, and net demand are used as data-based evaluation indices to compare the performance of the proposed method against other approaches. in addition, an ieee 24-bus and a 6-bus test system are considered for the case studies. two model-based evaluation indices are used to measure the performance of the clustering methods, including the power flow of all the lines in the system and the annual operation cost of the system. in addition, the performance of the proposed method in the presence of energy storage is evaluated and compared with existing methods.</t>
  </si>
  <si>
    <t>Network-Aware Flexibility Requests for Distribution-Level Flexibility Markets</t>
  </si>
  <si>
    <t>This article proposes a method to design network-aware flexibility requests for local flexibility markets. These markets are becoming increasingly important for distribution system operators (DSOs) to ensure grid safety while minimizing costs and public opposition to new network investments. Despite extended recent literature on local flexibility markets, little attention has been paid to quantifying the flexibility required at each location, considering physical network constraints (e.g. line and voltage limits). The method introduced uses a chance-constrained optimization model and a LinDistFlow approximation to consider both physical network constraints and uncertainty caused by renewable production or demand fluctuations. Unlike other methods, it avoids sharing sensitive grid data with the market operator. We compare our approach against a stochastic market-clearing mechanism which serves as a benchmark, and we derive analytical conditions for the performance of our method to determine flexibility requests. We show on two case studies that our method outperforms the stochastic market-clearing benchmark in terms of computation time while achieving comparable social welfare and costs for the DSOs. One of the case studies is conducted on an actual German distribution grid, showing that the proposed method can scale well to real-sized networks.</t>
  </si>
  <si>
    <t>Gabriel</t>
  </si>
  <si>
    <t>this article proposes a method to design network-aware flexibility requests for local flexibility markets. these markets are becoming increasingly important for distribution system operators (dsos) to ensure grid safety while minimizing costs and public opposition to new network investments. despite extended recent literature on local flexibility markets, little attention has been paid to quantifying the flexibility required at each location, considering physical network constraints (e.g. line and voltage limits). the method introduced uses a chance-constrained optimization model and a lindistflow approximation to consider both physical network constraints and uncertainty caused by renewable production or demand fluctuations. unlike other methods, it avoids sharing sensitive grid data with the market operator. we compare our approach against a stochastic market-clearing mechanism which serves as a benchmark, and we derive analytical conditions for the performance of our method to determine flexibility requests. we show on two case studies that our method outperforms the stochastic market-clearing benchmark in terms of computation time while achieving comparable social welfare and costs for the dsos. one of the case studies is conducted on an actual german distribution grid, showing that the proposed method can scale well to real-sized networks.</t>
  </si>
  <si>
    <t>Computational Performance Enhancement Strategies for Risk-Averse Two-Stage Stochastic Generation and Transmission Network Expansion Planning</t>
  </si>
  <si>
    <t>This paper proposes a new acceleration technique and a representative day aggregation procedure for the risk-averse two-stage stochastic generation and transmission network expansion planning problem, in which the conditional value-at-risk is used. We use a finite set of scenarios to model uncertainty in the peak demand level of loads, along with the capacity and marginal production cost of generating units. Moreover, we use representative days to model the operational variability of the electrical demand and renewable generation. The combination of scenarios and representative days involves many variables and constraints, which may lead to computationally intractable problems. Therefore, we propose a new relaxed version of the constraint generation-based algorithm that reduces the computational time of the problem. We additionally present a two-stage aggregation procedure that combines the modified maximum dissimilarity algorithm and the priority chronological time-period clustering in order to reduce the resolution of the representative days and to pay attention to extreme conditions. The numerical results of modified versions of the IEEE 24-bus Reliability Test System and the IEEE 118-bus Test System show reductions in the computational time of more than 89% for the relaxed constraint generation-based algorithm, and of more than 94% for the two-stage aggregation procedure.</t>
  </si>
  <si>
    <t>this paper proposes a new acceleration technique and a representative day aggregation procedure for the risk-averse two-stage stochastic generation and transmission network expansion planning problem, in which the conditional value-at-risk is used. we use a finite set of scenarios to model uncertainty in the peak demand level of loads, along with the capacity and marginal production cost of generating units. moreover, we use representative days to model the operational variability of the electrical demand and renewable generation. the combination of scenarios and representative days involves many variables and constraints, which may lead to computationally intractable problems. therefore, we propose a new relaxed version of the constraint generation-based algorithm that reduces the computational time of the problem. we additionally present a two-stage aggregation procedure that combines the modified maximum dissimilarity algorithm and the priority chronological time-period clustering in order to reduce the resolution of the representative days and to pay attention to extreme conditions. the numerical results of modified versions of the ieee 24-bus reliability test system and the ieee 118-bus test system show reductions in the computational time of more than 89% for the relaxed constraint generation-based algorithm, and of more than 94% for the two-stage aggregation procedure.</t>
  </si>
  <si>
    <t>A Novel Decentralized Frequency Regulation Method of Renewable Energy Stations Based on Minimum Reserve Capacity for Renewable Energy-Dominated Power Systems</t>
  </si>
  <si>
    <t>In this article, we propose a novel decentralized frequency regulation method for renewable energy-dominated power systems. First, the system is modularized into unified frequency regulation modules composed of synchronous generators(SGs) and renewable energy stations. Then, based on the aggregation model of the module, a renewable energy station frequency regulation method based on robust control barrier functions(RCBFs) is proposed to ensure that the frequency deviation is limited, and an additional switching control strategy is complemented to avoid the long-term suspension of over-high quasi-steady-state frequency. The proposed method is still applicable under the coordination of multiple renewable energy stations. Each renewable energy station deploys decentralized control based on local information, which can support fast frequency response. The robustness of frequency response time constants of renewable energy stations and frequency dead zone are considered, which makes the control method easy to implement. A module transient frequency stability margin index based on reserve capacity is proposed, which can be used to guide the system planning and operation. Finally, simulation results validate the applicability of the proposed method, demonstrating its efficacy in regulating frequency in renewable energy-dominated power systems.</t>
  </si>
  <si>
    <t>in this article, we propose a novel decentralized frequency regulation method for renewable energy-dominated power systems. first, the system is modularized into unified frequency regulation modules composed of synchronous generators(sgs) and renewable energy stations. then, based on the aggregation model of the module, a renewable energy station frequency regulation method based on robust control barrier functions(rcbfs) is proposed to ensure that the frequency deviation is limited, and an additional switching control strategy is complemented to avoid the long-term suspension of over-high quasi-steady-state frequency. the proposed method is still applicable under the coordination of multiple renewable energy stations. each renewable energy station deploys decentralized control based on local information, which can support fast frequency response. the robustness of frequency response time constants of renewable energy stations and frequency dead zone are considered, which makes the control method easy to implement. a module transient frequency stability margin index based on reserve capacity is proposed, which can be used to guide the system planning and operation. finally, simulation results validate the applicability of the proposed method, demonstrating its efficacy in regulating frequency in renewable energy-dominated power systems.</t>
  </si>
  <si>
    <t>Fault Location in Hybrid AC/DC Transmission Grids Containing DERs and HVDC Lines</t>
  </si>
  <si>
    <t>This paper introduces a new fault location method for hybrid AC/DC complex transmission grids containing Distributed Energy Resources (DERs) and Modular Multilevel Converter-High Voltage Direct Current (HVDC) lines. Digital Fault Recorders (DFR) in the DC grid cannot observe faults occurring in the AC network and vice-versa. The proposed algorithm accurately locates faults irrespective of their location using a subset of DFRs selected by a K-means clustering method. The algorithm is tested using an AC/DC complex transmission network formed by merging the modified IEEE 39 bus transmission system and the CIGRE B4 DC grid test systems under several fault conditions using EMTP-RV and MATLAB as simulation tools.</t>
  </si>
  <si>
    <t>this paper introduces a new fault location method for hybrid ac/dc complex transmission grids containing distributed energy resources (ders) and modular multilevel converter-high voltage direct current (hvdc) lines. digital fault recorders (dfr) in the dc grid cannot observe faults occurring in the ac network and vice-versa. the proposed algorithm accurately locates faults irrespective of their location using a subset of dfrs selected by a k-means clustering method. the algorithm is tested using an ac/dc complex transmission network formed by merging the modified ieee 39 bus transmission system and the cigre b4 dc grid test systems under several fault conditions using emtp-rv and matlab as simulation tools.</t>
  </si>
  <si>
    <t>Deep Transfer Learning Based Surrogate Modeling for Optimal Investment Decision of Distribution Networks</t>
  </si>
  <si>
    <t>At present, the distribution network investment is faced with complicated operation strategies and various new investment elements. It's difficult to evaluate the impact of different investment measures on the final benefits due to the complicated physical modeling and potential coupling correlation, which contributes to that the traditional model-driven decision-making method may not work. This paper proposes a novel deep transfer learning based surrogate-assisted method to address the challenge. The key idea is to develop a surrogate model to replace the input-output correlation between the certain investment measure and its benefits, which can be further reformulated into mixed-integer linear constraints and embedded into the classical investment decision-making model for the target distribution network. As the model is trained through a designed two-stage adaptive transfer learning algorithm, which can extract the similar rules from other distribution networks, the dilemma of insufficient effective samples is alleviated, while a neural network constrained algorithm is designed to linear the surrogate model for simplifying the optimization. Numerical cases prove the effectiveness of the surrogate model on correlation mining and show the superiority of the surrogate-assisted method in achieving the precision investment for target distribution network.</t>
  </si>
  <si>
    <t>at present, the distribution network investment is faced with complicated operation strategies and various new investment elements. its difficult to evaluate the impact of different investment measures on the final benefits due to the complicated physical modeling and potential coupling correlation, which contributes to that the traditional model-driven decision-making method may not work. this paper proposes a novel deep transfer learning based surrogate-assisted method to address the challenge. the key idea is to develop a surrogate model to replace the input-output correlation between the certain investment measure and its benefits, which can be further reformulated into mixed-integer linear constraints and embedded into the classical investment decision-making model for the target distribution network. as the model is trained through a designed two-stage adaptive transfer learning algorithm, which can extract the similar rules from other distribution networks, the dilemma of insufficient effective samples is alleviated, while a neural network constrained algorithm is designed to linear the surrogate model for simplifying the optimization. numerical cases prove the effectiveness of the surrogate model on correlation mining and show the superiority of the surrogate-assisted method in achieving the precision investment for target distribution network.</t>
  </si>
  <si>
    <t>Competitive Equilibrium Analysis for Renewables Integration in Dynamic Combined Heat and Power Trading Market</t>
  </si>
  <si>
    <t>With the increasing interdependence among the electricity and district heating systems in economy and physics, this study focuses on the equilibrium analysis of the combined heat and power market (CHPM). Based on the gradient method in game theory, a dynamic model characterizing renewables uncertainty and negotiation process among dominant participants is established. Inspired by modern control theory, the dynamic model can be viewed as state equations in which the actions of participants are control signals, and the system states, such as nodal price and bus voltages, are treated as system state variables. A detailed proof for asymptotic stability around the market equilibrium is derived, and its region of attraction is quantified. The resulting sufficient conditions can also be used to quantify the impact of renewable energy uncertainty and congestion constraints on market stability. The whole trading process is designed to be implemented by distributed algorithms to reduce the computation burden of central authority. Numerical tests on two cases with different scales are conducted to demonstrate the theoretical analysis and the application of the proposed sufficient conditions for market stability.</t>
  </si>
  <si>
    <t>with the increasing interdependence among the electricity and district heating systems in economy and physics, this study focuses on the equilibrium analysis of the combined heat and power market (chpm). based on the gradient method in game theory, a dynamic model characterizing renewables uncertainty and negotiation process among dominant participants is established. inspired by modern control theory, the dynamic model can be viewed as state equations in which the actions of participants are control signals, and the system states, such as nodal price and bus voltages, are treated as system state variables. a detailed proof for asymptotic stability around the market equilibrium is derived, and its region of attraction is quantified. the resulting sufficient conditions can also be used to quantify the impact of renewable energy uncertainty and congestion constraints on market stability. the whole trading process is designed to be implemented by distributed algorithms to reduce the computation burden of central authority. numerical tests on two cases with different scales are conducted to demonstrate the theoretical analysis and the application of the proposed sufficient conditions for market stability.</t>
  </si>
  <si>
    <t>Deep Learning-Based Equivalent Modelling of Hybrid RES Plant for Efficient, Repetitive Power System Transient Stability Studies</t>
  </si>
  <si>
    <t>The article presents the methodology for dynamic equivalent modelling of hybrid renewable energy source (HRES) plant with the aim of obtaining highly accurate time domain HRES plant power responses at any time during the year. The focus is on equivalent modelling for transient stability studies. Historical HRES plant production dataset and transmission network short-circuit fault statistical data, along with unsupervised data mining and deep learning techniques, represent a basis of the modelling procedure. Dynamic equivalent model (DEM) is developed in the form of deep Long Short Term Memory network. Real and imaginary parts of voltage at the point of common coupling (PCC) are model inputs, while real and reactive power at the PCC are model outputs. The article also proposes a practical approach for selecting the adequate DEM at any time in a year based on the forecasted HRES plant operating scenario only. Model performance is evaluated on a large number of case studies using the HRES plant consisting of three renewable energy sources. The results have shown that only a few DEMs are required for representing the annual HRES plant dynamic performance and obtaining reliable transient system stability results.</t>
  </si>
  <si>
    <t>the article presents the methodology for dynamic equivalent modelling of hybrid renewable energy source (hres) plant with the aim of obtaining highly accurate time domain hres plant power responses at any time during the year. the focus is on equivalent modelling for transient stability studies. historical hres plant production dataset and transmission network short-circuit fault statistical data, along with unsupervised data mining and deep learning techniques, represent a basis of the modelling procedure. dynamic equivalent model (dem) is developed in the form of deep long short term memory network. real and imaginary parts of voltage at the point of common coupling (pcc) are model inputs, while real and reactive power at the pcc are model outputs. the article also proposes a practical approach for selecting the adequate dem at any time in a year based on the forecasted hres plant operating scenario only. model performance is evaluated on a large number of case studies using the hres plant consisting of three renewable energy sources. the results have shown that only a few dems are required for representing the annual hres plant dynamic performance and obtaining reliable transient system stability results.</t>
  </si>
  <si>
    <t>Robust Synchronization of Multiple Converter-Based Weak Microgrids for Smooth Interconnection</t>
  </si>
  <si>
    <t>Integrating distributed energy resources (DERs) to the conventional distribution networks results in the appearance of the concept of microgrid (MG), i.e. a set of DERs and consumers, which can be operated autonomously or in grid-connected mode. The challenge of weak converter-based MGs is taken into account in the synchronization problem of multiple MGs. Such a synchronization process is fully related to the voltage phase and magnitude of the connection points as well as the MG frequency. Therefore, the voltage/frequency fluctuations of MGs have a considerable impact on the synchronization process. In this article, a robust $H_\infty$ controller is proposed for the synchronization process of multiple MGs as very weak grids to cope with these fluctuations and to obtain a smooth interconnection. The disturbances and uncertainties of the weak voltage and frequency are considered in the robust control synthesis, and the controller design process is completely described including parametric/unstructured uncertainty modeling, open/closed-loop modeling, and stability/performance weighting coefficient specifying. Moreover, all requirements of the synchronization procedure and control layer functionalities of MG hierarchical control, where they are fulfilled, are discussed including logic commands, control and communication signals. Time-domain simulations show a desirable performance according to design of the proposed robust synchronization control strategy.</t>
  </si>
  <si>
    <t>integrating distributed energy resources (ders) to the conventional distribution networks results in the appearance of the concept of microgrid (mg), i.e. a set of ders and consumers, which can be operated autonomously or in grid-connected mode. the challenge of weak converter-based mgs is taken into account in the synchronization problem of multiple mgs. such a synchronization process is fully related to the voltage phase and magnitude of the connection points as well as the mg frequency. therefore, the voltage/frequency fluctuations of mgs have a considerable impact on the synchronization process. in this article, a robust hinfty controller is proposed for the synchronization process of multiple mgs as very weak grids to cope with these fluctuations and to obtain a smooth interconnection. the disturbances and uncertainties of the weak voltage and frequency are considered in the robust control synthesis, and the controller design process is completely described including parametric/unstructured uncertainty modeling, open/closed-loop modeling, and stability/performance weighting coefficient specifying. moreover, all requirements of the synchronization procedure and control layer functionalities of mg hierarchical control, where they are fulfilled, are discussed including logic commands, control and communication signals. time-domain simulations show a desirable performance according to design of the proposed robust synchronization control strategy.</t>
  </si>
  <si>
    <t>Uncertainty Quantification of Capacitor Switching Transient Location Using Machine Learning</t>
  </si>
  <si>
    <t>Identification of capacitor switching transient location provides valuable insight into the state of the associated equipment. Machine learning (ML) models, and convolutional neural networks (CNNs) in particular, have demonstrated remarkable performance in signal location. However, ML models are data driven whose predictions are affected by noise in data and may also suffer from large extrapolation errors when applied to new conditions. Uncertainty quantification (UQ) is necessary to ensure model trustworthiness and avoid overconfident predictions in extrapolation. In this work, we propose a novel UQ method, called PI3NN, to quantify prediction uncertainty of ML models and integrate the method with CNNs for transient source location. PI3NN calculates Prediction Intervals by training 3 Neural Networks and uses root-finding methods to determine the interval precisely. Additionally, PI3NN can identify out-of-distribution (OOD) data in a nonstationary condition to avoid overconfident prediction. Results indicate that with PI3NN, transient signals are not only correctly identified, but when said signals are subject to corruptions characteristic of an actual power monitoring system (e.g non-ideal sensors), the model recognizes when it is uncertain about its predictions, effectively letting the user know when to accept or discard the results.</t>
  </si>
  <si>
    <t>identification of capacitor switching transient location provides valuable insight into the state of the associated equipment. machine learning (ml) models, and convolutional neural networks (cnns) in particular, have demonstrated remarkable performance in signal location. however, ml models are data driven whose predictions are affected by noise in data and may also suffer from large extrapolation errors when applied to new conditions. uncertainty quantification (uq) is necessary to ensure model trustworthiness and avoid overconfident predictions in extrapolation. in this work, we propose a novel uq method, called pi3nn, to quantify prediction uncertainty of ml models and integrate the method with cnns for transient source location. pi3nn calculates prediction intervals by training 3 neural networks and uses root-finding methods to determine the interval precisely. additionally, pi3nn can identify out-of-distribution (ood) data in a nonstationary condition to avoid overconfident prediction. results indicate that with pi3nn, transient signals are not only correctly identified, but when said signals are subject to corruptions characteristic of an actual power monitoring system (e.g non-ideal sensors), the model recognizes when it is uncertain about its predictions, effectively letting the user know when to accept or discard the results.</t>
  </si>
  <si>
    <t>Online Preventive Control for Transmission Overload Relief Using Safe Reinforcement Learning With Enhanced Spatial-Temporal Awareness</t>
  </si>
  <si>
    <t>The risk of transmission overload (TO) in power grids is increasing with the large-scale integration of intermittent renewable energy sources. An effective online preventive control schemes proves to be vital in safeguarding the security of power systems. In this paper, we formulate the online preventive control problem for TO alleviation as a constrained Markov decision process (CMDP), targeted to reduce the load rate of overloaded lines by implementing generation re-dispatch, transmission and busbar switching actions. The CMDP is solved with a state-of-the-art safe deep reinforcement learning method, based on the computationally efficient interior-point policy optimization (IPO), which facilitates desirable learning behavior towards constraint satisfaction and policy improvement simultaneously. The performance of IPO method is further improved with an enhanced perception of spatial-temporal correlations in power gird nodal and edge features, combining the strength of edge conditioned convolutional network and long short-term memory network, fostering more effective and robust preventive control policies to be devised. Case studies on a real-world system and a large-scale system validate the superior performance of the proposed method in TO alleviation, constraint handling, uncertainty adaptability and stability preservation, as well as its favorable computational performance, through benchmarking against both model-based and reinforcement learning-based baseline methods.</t>
  </si>
  <si>
    <t>the risk of transmission overload (to) in power grids is increasing with the large-scale integration of intermittent renewable energy sources. an effective online preventive control schemes proves to be vital in safeguarding the security of power systems. in this paper, we formulate the online preventive control problem for to alleviation as a constrained markov decision process (cmdp), targeted to reduce the load rate of overloaded lines by implementing generation re-dispatch, transmission and busbar switching actions. the cmdp is solved with a state-of-the-art safe deep reinforcement learning method, based on the computationally efficient interior-point policy optimization (ipo), which facilitates desirable learning behavior towards constraint satisfaction and policy improvement simultaneously. the performance of ipo method is further improved with an enhanced perception of spatial-temporal correlations in power gird nodal and edge features, combining the strength of edge conditioned convolutional network and long short-term memory network, fostering more effective and robust preventive control policies to be devised. case studies on a real-world system and a large-scale system validate the superior performance of the proposed method in to alleviation, constraint handling, uncertainty adaptability and stability preservation, as well as its favorable computational performance, through benchmarking against both model-based and reinforcement learning-based baseline methods.</t>
  </si>
  <si>
    <t>Distributed Privacy Preserving Algorithm for Economic Dispatch Over Time-Varying Communication</t>
  </si>
  <si>
    <t>The economic dispatch problem (EDP) is the solid rock to guarantee the stable operation of power systems, which is essentially an optimization problem, i.e., dispatching generators to meet the total demands with the minimum generation cost under the constraint of generation capacity. With the increasing complexity of power systems, higher requirements for the security and robustness of EDP algorithm have been put forward. On the one hand, the explicit information communication between the generators may bring serious security risks; on the other hand, in practical applications, there may be communication delays and communication link failures due to network instability. However, many existing EDP algorithms can hardly meet the requirements of both security and robustness. Thus, this article develops a fully distributed privacy preserving algorithm for EDP with line losses over time-varying and directed communication and extends it to non-ideal communication environments. In particular, the proposed algorithm only relies on the row-stochastic weight matrix, where each generator can allocate the information weight of its neighbor nodes locally, making the approach easier to implement. Moreover, the conditional noise is added to the auxiliary variable to achieve the generator's privacy preservation. The rigorous mathematical analysis reveals that the proposed approach can effectively find the optimal dispatch while achieving privacy preservation of generators under the assumption that the communication delays are arbitrarily significant but bounded. Finally, several cases are presented to testify the convergence and robustness of the proposed approach.</t>
  </si>
  <si>
    <t>the economic dispatch problem (edp) is the solid rock to guarantee the stable operation of power systems, which is essentially an optimization problem, i.e., dispatching generators to meet the total demands with the minimum generation cost under the constraint of generation capacity. with the increasing complexity of power systems, higher requirements for the security and robustness of edp algorithm have been put forward. on the one hand, the explicit information communication between the generators may bring serious security risks; on the other hand, in practical applications, there may be communication delays and communication link failures due to network instability. however, many existing edp algorithms can hardly meet the requirements of both security and robustness. thus, this article develops a fully distributed privacy preserving algorithm for edp with line losses over time-varying and directed communication and extends it to non-ideal communication environments. in particular, the proposed algorithm only relies on the row-stochastic weight matrix, where each generator can allocate the information weight of its neighbor nodes locally, making the approach easier to implement. moreover, the conditional noise is added to the auxiliary variable to achieve the generators privacy preservation. the rigorous mathematical analysis reveals that the proposed approach can effectively find the optimal dispatch while achieving privacy preservation of generators under the assumption that the communication delays are arbitrarily significant but bounded. finally, several cases are presented to testify the convergence and robustness of the proposed approach.</t>
  </si>
  <si>
    <t>Risk Assessment of Post-Fault Temporary Overvoltage Using Generalized Short-Circuit Ratio</t>
  </si>
  <si>
    <t>Temporary overvoltage (TOV) is becoming one challenge for the integration of significant power electronics resources into a power system. To assess the risk of TOV in a Multi-Infeed Power Electronic System (MIPES), a worst-case estimation approach is proposed to assess TOV risk. The paper starts with analyzing the mechanism of TOV, which reveals that TOV is dominated by excessive reactive power resulting from comprehensive control laggings. Then, the principle of approximating the TOV for a Voltage Source Converter (VSC) connecting to an infinite bus is introduced within the context of the RMS model. After that, a method based on the concept of generalized short-circuit ratio for overvoltage (gSCR-TOV) is introduced to quantify the risk of TOV in a multi-bus system. This concept intends to permit screening to identify those nodes at greatest need for further EMT assessment. To localize these nodes, a concept of weighted sensitivity matrix is further proposed to pinpoint the bus subject to highest TOV in a MIPES. Finally, case studies of EMT time-domain simulations are carried out and verifies the effectiveness of the proposed methods.</t>
  </si>
  <si>
    <t>temporary overvoltage (tov) is becoming one challenge for the integration of significant power electronics resources into a power system. to assess the risk of tov in a multi-infeed power electronic system (mipes), a worst-case estimation approach is proposed to assess tov risk. the paper starts with analyzing the mechanism of tov, which reveals that tov is dominated by excessive reactive power resulting from comprehensive control laggings. then, the principle of approximating the tov for a voltage source converter (vsc) connecting to an infinite bus is introduced within the context of the rms model. after that, a method based on the concept of generalized short-circuit ratio for overvoltage (gscr-tov) is introduced to quantify the risk of tov in a multi-bus system. this concept intends to permit screening to identify those nodes at greatest need for further emt assessment. to localize these nodes, a concept of weighted sensitivity matrix is further proposed to pinpoint the bus subject to highest tov in a mipes. finally, case studies of emt time-domain simulations are carried out and verifies the effectiveness of the proposed methods.</t>
  </si>
  <si>
    <t>Expanding the Role of DSOs in Establishing Flexible Local Markets: A Brokerage Perspective</t>
  </si>
  <si>
    <t>As more distributed energy resources are deployed into distribution networks, supply and demand matching between prosumers becomes a new challenge for distribution system operators (DSOs) due to the intermittency of DERs. Recent studies begin to expand the responsibilities of DSOs towards local generation and consumption optimization, such as establishing a flexible local market. However, the difficulty of boosting local power exchange while reducing operation costs still remains unsolved. In this article, we propose a new way of power trading management for DSOs from a brokerage perspective. Specifically, DSOs endeavor to coordinate prosumers in the local market by setting a fair transactive price as incentive signals. Meanwhile, to compensate for the operation cost (e.g., power line loss), DSOs need to charge commission. We investigate how to compute the optimal transactive price in a privacy-preserving way by using a distributed algorithm and set a fair service fee, which attracts more power transactions in the local market as well as reduces the operation cost of DSOs. Moreover, to accelerate the distributed algorithm, we derive an optimal transactive price updating rule for DSOs, and the closed-form expression of the optimal strategy for each prosumer with respect to the transactive price. Numerical results on Southern California Edison 56-bus feeder and IEEE 123-node test feeder show that the proposed power trading management for DSOs from a brokerage perspective leads to a TRIPLE win. With the proposed mechanism, the prosumers' payoffs largely increase by as much as 192.85%. Then, the prosumers are more willing to exchange power locally, which significantly reduces the increasing transmission burden in transmission networks of power systems. Moreover, DSOs obtain compensation by charging a service commission and reduce their operating costs.</t>
  </si>
  <si>
    <t>as more distributed energy resources are deployed into distribution networks, supply and demand matching between prosumers becomes a new challenge for distribution system operators (dsos) due to the intermittency of ders. recent studies begin to expand the responsibilities of dsos towards local generation and consumption optimization, such as establishing a flexible local market. however, the difficulty of boosting local power exchange while reducing operation costs still remains unsolved. in this article, we propose a new way of power trading management for dsos from a brokerage perspective. specifically, dsos endeavor to coordinate prosumers in the local market by setting a fair transactive price as incentive signals. meanwhile, to compensate for the operation cost (e.g., power line loss), dsos need to charge commission. we investigate how to compute the optimal transactive price in a privacy-preserving way by using a distributed algorithm and set a fair service fee, which attracts more power transactions in the local market as well as reduces the operation cost of dsos. moreover, to accelerate the distributed algorithm, we derive an optimal transactive price updating rule for dsos, and the closed-form expression of the optimal strategy for each prosumer with respect to the transactive price. numerical results on southern california edison 56-bus feeder and ieee 123-node test feeder show that the proposed power trading management for dsos from a brokerage perspective leads to a triple win. with the proposed mechanism, the prosumers payoffs largely increase by as much as 192.85%. then, the prosumers are more willing to exchange power locally, which significantly reduces the increasing transmission burden in transmission networks of power systems. moreover, dsos obtain compensation by charging a service commission and reduce their operating costs.</t>
  </si>
  <si>
    <t>Forwardformer: Efficient Transformer With Multi-Scale Forward Self-Attention for Day-Ahead Load Forecasting</t>
  </si>
  <si>
    <t>Accurate load forecasting can maintain the safety and stability of power grids. The mainstream models are based on complex recurrent or convolutional neural networks (RNNs, CNNs), and in recent years they are often used in combination with the attention mechanism. The shortcomings of these models are that they cannot get rid of sequential computation and fail to capture long-term dependence. For better application in day-ahead load forecasting (DALF), we propose a new network architecture, i.e., Forwardformer, which is implemented by imposing some effective improvements on the Transformer (a pioneering network model with applications in Natural Language Processing (NLP)). The core of Forwardformer is the multi-scale forward self-attention (MSFSA) and the correction structure of the encoder-dual decoder, which confer better computational efficiency and forecasting accuracy. Meanwhile, to improve forecasting accuracy on special days (weekends, holidays, etc.), the MSFSA configures dilated attention and global attention for them, respectively. Experiments performed on datasets from China and America demonstrated that the Forwardformer requires less runtime while being superior in forecasting accuracy. Especially in terms of weekends and holidays, it has outstanding advantages and provides a new solution to the DALF problem.</t>
  </si>
  <si>
    <t>accurate load forecasting can maintain the safety and stability of power grids. the mainstream models are based on complex recurrent or convolutional neural networks (rnns, cnns), and in recent years they are often used in combination with the attention mechanism. the shortcomings of these models are that they cannot get rid of sequential computation and fail to capture long-term dependence. for better application in day-ahead load forecasting (dalf), we propose a new network architecture, i.e., forwardformer, which is implemented by imposing some effective improvements on the transformer (a pioneering network model with applications in natural language processing (nlp)). the core of forwardformer is the multi-scale forward self-attention (msfsa) and the correction structure of the encoder-dual decoder, which confer better computational efficiency and forecasting accuracy. meanwhile, to improve forecasting accuracy on special days (weekends, holidays, etc.), the msfsa configures dilated attention and global attention for them, respectively. experiments performed on datasets from china and america demonstrated that the forwardformer requires less runtime while being superior in forecasting accuracy. especially in terms of weekends and holidays, it has outstanding advantages and provides a new solution to the dalf problem.</t>
  </si>
  <si>
    <t>Equivalence of Impedance Participation Analysis Methods for Hybrid AC/DC Power Systems</t>
  </si>
  <si>
    <t>Participation analysis based on whole-system impedance models enables the root-cause stability analysis of large-scale power systems when state-space models are unavailable. To extend participation analysis to the hybrid AC/DC system, especially for the interlinking converter, this article proposes two complementary methods, namely the direct method and the indirect method. The direct method treats the interlinking converter as hybrid AC-DC port apparatus and the participation factor can be defined with the terminal hybrid AC-DC impedance matrix correspondingly. As for the indirect method, system equivalence can be made at the AC or DC terminal of the interlinking converter when impedance models within subsystems are unavailable such that preliminary knowledge of systems can be simplified. Importantly, the equivalence of these two methods on the observability of system components is revealed through theoretical analysis. The proposed impedance participation analysis methods are illustrated with a 4-bus hybrid AC/DC system, a modified 28-bus hybrid AC/DC system and a modified 96-bus hybrid AC/DC system. Numerical calculations and time-domain simulations are performed to validate the theoretical analysis.</t>
  </si>
  <si>
    <t>participation analysis based on whole-system impedance models enables the root-cause stability analysis of large-scale power systems when state-space models are unavailable. to extend participation analysis to the hybrid ac/dc system, especially for the interlinking converter, this article proposes two complementary methods, namely the direct method and the indirect method. the direct method treats the interlinking converter as hybrid ac-dc port apparatus and the participation factor can be defined with the terminal hybrid ac-dc impedance matrix correspondingly. as for the indirect method, system equivalence can be made at the ac or dc terminal of the interlinking converter when impedance models within subsystems are unavailable such that preliminary knowledge of systems can be simplified. importantly, the equivalence of these two methods on the observability of system components is revealed through theoretical analysis. the proposed impedance participation analysis methods are illustrated with a 4-bus hybrid ac/dc system, a modified 28-bus hybrid ac/dc system and a modified 96-bus hybrid ac/dc system. numerical calculations and time-domain simulations are performed to validate the theoretical analysis.</t>
  </si>
  <si>
    <t>Distributed Fixed-Time Transient Stability Control Scheme for Power Systems With Heterogeneous Dynamics</t>
  </si>
  <si>
    <t>To address the obstacles of frequency synchronization and phase angle cohesion caused by heterogeneity in generator dynamics, a distributed hierarchical fixed-time frequency control framework is devised in this paper to enhance transient stability. In the top interaction observer layer, a distributed homogeneous observer is designed for each follower generator to guarantee the follower's estimation states reach the expected leader's states based on Lyapunov and fixed-time theories. In the bottom local controller layer, based on fixed-time control and backstepping method, different controllers are constructed for follower generators with heterogeneous dynamics to make the follower's actual states track their estimation states. In addition, denial-of-service (DoS) attacks may block information transmission required by the distributed control and endanger system stability. The proposed distributed frequency control can be transformed into local frequency control to achieve self-defense against DoS attacks. According to direct feedback linearization, the nonlinear voltage control coordinated with the proposed distributed fixed-time frequency control is designed to enhance transient stability by imposing additional damping. Simulations confirm the efficiency of the proposed transient stability control scheme of power systems with heterogenous generator dynamics.</t>
  </si>
  <si>
    <t>to address the obstacles of frequency synchronization and phase angle cohesion caused by heterogeneity in generator dynamics, a distributed hierarchical fixed-time frequency control framework is devised in this paper to enhance transient stability. in the top interaction observer layer, a distributed homogeneous observer is designed for each follower generator to guarantee the followers estimation states reach the expected leaders states based on lyapunov and fixed-time theories. in the bottom local controller layer, based on fixed-time control and backstepping method, different controllers are constructed for follower generators with heterogeneous dynamics to make the followers actual states track their estimation states. in addition, denial-of-service (dos) attacks may block information transmission required by the distributed control and endanger system stability. the proposed distributed frequency control can be transformed into local frequency control to achieve self-defense against dos attacks. according to direct feedback linearization, the nonlinear voltage control coordinated with the proposed distributed fixed-time frequency control is designed to enhance transient stability by imposing additional damping. simulations confirm the efficiency of the proposed transient stability control scheme of power systems with heterogenous generator dynamics.</t>
  </si>
  <si>
    <t>A Novel Interior-Exterior Approach for the TSO-DSO Based Bilevel Optimal Power Flow</t>
  </si>
  <si>
    <t>Interconnected transmission and distribution systems operation is inherently hierarchical. Hence, strategic interaction between Transmission System Operator (TSO) and Distribution System Operators (DSOs) is inevitable. Based on the scheduling hierarchy and despatch, such interactions are modeled as Bilevel Optimal Power Flow (BOPF). However, the direct solution of BOPF for AC networks is challenging due to the leader-follower structure. Hence, previous works have often used DC and linearized AC networks for the follower's OPF, which are often infeasible for AC networks. Also, BOPF is stated as a Mathematical Program with Complementary Constraints (MPCC) by replacing the follower's OPF with associated optimality conditions. However, the related justification (constraint qualification satisfaction in ACOPF) is missing in previous works. We provide such a justification in this article and propose a novel mixed interior-exterior penalty-based approach for the solution of KKT-reformulated TSO-DSO-based BOPF as MPCC. The proposed method has superior convergence and is robust to the choice of penalty parameter when tested on five test systems compared to Sequential Linear Programming (SLP) and two other methods. BOPF's solution gives Stackelberg equilibrium-based schedules for TSO and DSOs in respective markets with high supplier profits in the Wholesale Electricity Market (WEM) compared to the distributed OPF's solution.</t>
  </si>
  <si>
    <t>interconnected transmission and distribution systems operation is inherently hierarchical. hence, strategic interaction between transmission system operator (tso) and distribution system operators (dsos) is inevitable. based on the scheduling hierarchy and despatch, such interactions are modeled as bilevel optimal power flow (bopf). however, the direct solution of bopf for ac networks is challenging due to the leader-follower structure. hence, previous works have often used dc and linearized ac networks for the followers opf, which are often infeasible for ac networks. also, bopf is stated as a mathematical program with complementary constraints (mpcc) by replacing the followers opf with associated optimality conditions. however, the related justification (constraint qualification satisfaction in acopf) is missing in previous works. we provide such a justification in this article and propose a novel mixed interior-exterior penalty-based approach for the solution of kkt-reformulated tso-dso-based bopf as mpcc. the proposed method has superior convergence and is robust to the choice of penalty parameter when tested on five test systems compared to sequential linear programming (slp) and two other methods. bopfs solution gives stackelberg equilibrium-based schedules for tso and dsos in respective markets with high supplier profits in the wholesale electricity market (wem) compared to the distributed opfs solution.</t>
  </si>
  <si>
    <t>Network Robustness Based Transient Stability Optimisation via Scheduling and Switching</t>
  </si>
  <si>
    <t>Security and transient stability (TS) constrained OPFs do not include network switching and often require excessive computation time due to discretization of the TS model. This paper proposes a non-simulation methodology to optimize active power dispatching and network switching to ensure TS and system security in the preventive control mode. Network switching is introduced in the security constrained OPF and classical TS models, giving a general dynamic security and TS constrained OPF. To ensure TS constraints are manageable in the optimization framework, TS is assessed by using proposed non-simulation based proxy measures. To this end, the key factors impacting TS are investigated and new composite robustness metrics for TS assessment are proposed; they consist of two terms, the nodal and network topology metrics. The former models generator features just before a fault, whilst the second considers impact of a fault on units. The general problem is then decomposed into two stages, the first being economic dispatching and the second optimization of network topology for TS via developed network robustness metrics. The minimum cost topology solutions are ranked by the TS performance. The proposed approach is tested on the IEEE68 Bus test system and compared with time-domain TS results.</t>
  </si>
  <si>
    <t>security and transient stability (ts) constrained opfs do not include network switching and often require excessive computation time due to discretization of the ts model. this paper proposes a non-simulation methodology to optimize active power dispatching and network switching to ensure ts and system security in the preventive control mode. network switching is introduced in the security constrained opf and classical ts models, giving a general dynamic security and ts constrained opf. to ensure ts constraints are manageable in the optimization framework, ts is assessed by using proposed non-simulation based proxy measures. to this end, the key factors impacting ts are investigated and new composite robustness metrics for ts assessment are proposed; they consist of two terms, the nodal and network topology metrics. the former models generator features just before a fault, whilst the second considers impact of a fault on units. the general problem is then decomposed into two stages, the first being economic dispatching and the second optimization of network topology for ts via developed network robustness metrics. the minimum cost topology solutions are ranked by the ts performance. the proposed approach is tested on the ieee68 bus test system and compared with time-domain ts results.</t>
  </si>
  <si>
    <t>Evaluation of Grid Support Capacity From Electrified Railways</t>
  </si>
  <si>
    <t>High power level and temporal operation flexibility endow electric trains with great potential for improving grid resilience. It becomes crucial to quantify the grid support capacity (GSC) from large-scale electrified railways. This article innovatively proposes a hierarchical train coordination and trajectory regulation method to evaluate and deliver the GSC from electrified railways. In the light of the mechanical energy consumption analysis of train running, the energy-oriented train operation model is proposed to avoid the nonlinear differential dynamics of train kinetics when coordinating large-scale trains. Then the aggregation and disaggregation of trains for grid support can be formulated as linear and convex quadratic programming problems respectively. To closely follow the reference power and enhance the feasibility of train operation, a novel iterative discretization approach is proposed to generate the precise reference trajectory. A sliding mode controller with disturbance bound adaption is devised to overcome the modeling errors and disturbances when deploying GSC in realistic environment. Comprehensive numerical examples verify the effectiveness of the proposed scheme, and demonstrate the significant grid support potential from collaborative electrified railways.</t>
  </si>
  <si>
    <t>high power level and temporal operation flexibility endow electric trains with great potential for improving grid resilience. it becomes crucial to quantify the grid support capacity (gsc) from large-scale electrified railways. this article innovatively proposes a hierarchical train coordination and trajectory regulation method to evaluate and deliver the gsc from electrified railways. in the light of the mechanical energy consumption analysis of train running, the energy-oriented train operation model is proposed to avoid the nonlinear differential dynamics of train kinetics when coordinating large-scale trains. then the aggregation and disaggregation of trains for grid support can be formulated as linear and convex quadratic programming problems respectively. to closely follow the reference power and enhance the feasibility of train operation, a novel iterative discretization approach is proposed to generate the precise reference trajectory. a sliding mode controller with disturbance bound adaption is devised to overcome the modeling errors and disturbances when deploying gsc in realistic environment. comprehensive numerical examples verify the effectiveness of the proposed scheme, and demonstrate the significant grid support potential from collaborative electrified railways.</t>
  </si>
  <si>
    <t>Non-Iterative Decentralized Peer-to-Peer Market Clearing in Multi-Microgrid Systems via Model Substitution and Network Reduction</t>
  </si>
  <si>
    <t>In the existing literature, P2P energy trading market can be cleared in a centralized, distributed or decentralized manner. The decentralized market structure is in line with the energy prosumer dominance essence. However, the iteration process in the current decentralized market-clearing method poses significant challenges to the computation and communication of the power system. Therefore, we develop a non-iterative decentralized market-clearing method in this article. We first model the energy trading behaviors inside microgrids as Stackelberg games. Since the microgrids and prosumers have heterogeneous market roles, we employ a continuous double auction mechanism to simulate the bidding processes of microgrids after the intra-microgrid markets are cleared. Then, we analyze the energy buyers' best responses to the sellers' prices and formulate the traded power as piecewise constant functions concerning prices. We linearize the distribution network security constraints as piecewise constant constraints. We propose the concepts of active trading segments and critical security constraints based on these piecewise constant functions. According to numerical simulation results, our proposed method can effectively identify the substitution model within a few steps. Considering the heterogeneous market roles and detailed distribution network constraints, the identified substitution model could accurately portray the market members' behaviors. The non-iterative market-clearing time does not increase with the problem scale, which verifies the computational efficiency.</t>
  </si>
  <si>
    <t>in the existing literature, p2p energy trading market can be cleared in a centralized, distributed or decentralized manner. the decentralized market structure is in line with the energy prosumer dominance essence. however, the iteration process in the current decentralized market-clearing method poses significant challenges to the computation and communication of the power system. therefore, we develop a non-iterative decentralized market-clearing method in this article. we first model the energy trading behaviors inside microgrids as stackelberg games. since the microgrids and prosumers have heterogeneous market roles, we employ a continuous double auction mechanism to simulate the bidding processes of microgrids after the intra-microgrid markets are cleared. then, we analyze the energy buyers best responses to the sellers prices and formulate the traded power as piecewise constant functions concerning prices. we linearize the distribution network security constraints as piecewise constant constraints. we propose the concepts of active trading segments and critical security constraints based on these piecewise constant functions. according to numerical simulation results, our proposed method can effectively identify the substitution model within a few steps. considering the heterogeneous market roles and detailed distribution network constraints, the identified substitution model could accurately portray the market members behaviors. the non-iterative market-clearing time does not increase with the problem scale, which verifies the computational efficiency.</t>
  </si>
  <si>
    <t>Non-Iterative Solution for Coordinated Optimal Dispatch via Equivalent ProjectionÃ¢â‚¬â€Part I: Theory</t>
  </si>
  <si>
    <t>Coordinated optimal dispatch is of utmost importance for the efficient and secure operation of hierarchically structured power systems. Conventional coordinated optimization methods, such as the Lagrangian relaxation and Benders decomposition, require iterative information exchange among subsystems. Iterative coordination methods have drawbacks including slow convergence, risk of oscillation and divergence, and incapability of multi-level optimization problems. To this end, this paper aims at the non-iterative coordinated optimization method for hierarchical power systems. The theory of the equivalent projection (EP) is proposed, which makes external equivalence of the optimal dispatch model of the subsystem. Based on the EP theory, a coordinated optimization framework is developed, where each subsystem submits the EP model as a substitute for its original model to participate in the cross-system coordination. The proposed coordination framework is proven to guarantee the same optimality as the joint optimization, with additional benefits of avoiding iterative information exchange, protecting privacy, compatibility with practical dispatch scheme, and capability of multi-level problems.</t>
  </si>
  <si>
    <t>coordinated optimal dispatch is of utmost importance for the efficient and secure operation of hierarchically structured power systems. conventional coordinated optimization methods, such as the lagrangian relaxation and benders decomposition, require iterative information exchange among subsystems. iterative coordination methods have drawbacks including slow convergence, risk of oscillation and divergence, and incapability of multi-level optimization problems. to this end, this paper aims at the non-iterative coordinated optimization method for hierarchical power systems. the theory of the equivalent projection (ep) is proposed, which makes external equivalence of the optimal dispatch model of the subsystem. based on the ep theory, a coordinated optimization framework is developed, where each subsystem submits the ep model as a substitute for its original model to participate in the cross-system coordination. the proposed coordination framework is proven to guarantee the same optimality as the joint optimization, with additional benefits of avoiding iterative information exchange, protecting privacy, compatibility with practical dispatch scheme, and capability of multi-level problems.</t>
  </si>
  <si>
    <t>Nonlinear Backstepping Control of Grid-Forming Converters in Presence of Grid-Following Converters and Synchronous Generators</t>
  </si>
  <si>
    <t>Grids in near future are going to host synchronous generators (SGs), legacy grid-following converters (GFLCs), and relatively new grid-forming converters (GFCs), where the latter two technologies support converter-interfaced generations. This change is going to introduce new challenges Ã¢â‚¬â€œ one of them is the dc-link voltage collapse issue in GFCs following the outage of a generator. As a solution, this paper proposes a nonlinear backstepping control strategy that guarantees Lyapunov stability of a reduced-order model of such systems. To this end, first a reduced model of a 6-bus system with one GFC, one GFLC, and one SG is considered to develop fundamental understanding of such systems and derive a stabilizing control strategy. Then, based on certain observations, the simplified model is extended to a multimachine system, which in turn helps developing the nonlinear control strategy in presence of bounded uncertainties. Further, a dc-link voltage tracking control is introduced to ensure controllable frequency support from GFCs. The proposed controller is decentralized in nature and requires limited communication only if neighboring buses have GFCs and/or GFLCs. Detailed phasor models of the 6-bus system and the modified 68-bus New England-New York system with 2 GFCs and 2 GFLCs are used to demonstrate the effectiveness of the proposed control strategies.</t>
  </si>
  <si>
    <t>grids in near future are going to host synchronous generators (sgs), legacy grid-following converters (gflcs), and relatively new grid-forming converters (gfcs), where the latter two technologies support converter-interfaced generations. this change is going to introduce new challenges  one of them is the dc-link voltage collapse issue in gfcs following the outage of a generator. as a solution, this paper proposes a nonlinear backstepping control strategy that guarantees lyapunov stability of a reduced-order model of such systems. to this end, first a reduced model of a 6-bus system with one gfc, one gflc, and one sg is considered to develop fundamental understanding of such systems and derive a stabilizing control strategy. then, based on certain observations, the simplified model is extended to a multimachine system, which in turn helps developing the nonlinear control strategy in presence of bounded uncertainties. further, a dc-link voltage tracking control is introduced to ensure controllable frequency support from gfcs. the proposed controller is decentralized in nature and requires limited communication only if neighboring buses have gfcs and/or gflcs. detailed phasor models of the 6-bus system and the modified 68-bus new england-new york system with 2 gfcs and 2 gflcs are used to demonstrate the effectiveness of the proposed control strategies.</t>
  </si>
  <si>
    <t>Distributed Event-Triggered Control for Power Sharing in Grid-Connected AC Microgrid</t>
  </si>
  <si>
    <t>The traditional communication method will bring a heavy burden to the grid system in the distributed collaborative control of microgrids. In grid-connected ac microgrid, this paper adopts an event-triggered control method to resolve the power sharing problem and reduce the communication cost. To begin, the problem is stated as the control problem of a leader-follower multiagent system and uses a distributed hierarchical control strategy to solve it. The primary controller uses the internal model principle to control the voltage output. To optimize the secondary controller, this paper not only adopts an event-triggered control strategy for the microgrid based on the Lyapunov principle to control the output of the compensator state, but also carries out relevant theoretical verification and analysis to ensure that each agent can exclude Zeno behavior. Finally, simulation instances are used to verify the usefulness of the studied control algorithm.</t>
  </si>
  <si>
    <t>the traditional communication method will bring a heavy burden to the grid system in the distributed collaborative control of microgrids. in grid-connected ac microgrid, this paper adopts an event-triggered control method to resolve the power sharing problem and reduce the communication cost. to begin, the problem is stated as the control problem of a leader-follower multiagent system and uses a distributed hierarchical control strategy to solve it. the primary controller uses the internal model principle to control the voltage output. to optimize the secondary controller, this paper not only adopts an event-triggered control strategy for the microgrid based on the lyapunov principle to control the output of the compensator state, but also carries out relevant theoretical verification and analysis to ensure that each agent can exclude zeno behavior. finally, simulation instances are used to verify the usefulness of the studied control algorithm.</t>
  </si>
  <si>
    <t>Enhance Unobservable Solar Generation Estimation via Constructive Generative Adversarial Networks</t>
  </si>
  <si>
    <t>Power distribution grids experiences proliferation of solar photovoltaics (PV) at the system edge. However, its counterpart of sparse meter deployment provides insufficient monitoring of PVs, for which the potential violations challenge the operators for energy management and stable operation. Some previous works use satellite imagery to detect distributed PVs for the easy access of data. However, their PV localization methods rely on label-rich area with unitary background/environment to implement well; even further/harder, they do not provide precise metered-PV detection and quantification to estimate/know PV generation outputs in unobservable area, which is essential to prevent the edge from excessive two-way power flow and other violations. Thus, we combine the two steps of detecting PV existence and quantify PV amount into one classification task. To boost the classification performance in unobservable edge area, we construct a generative adversarial network that simultaneous augments the diversity of labelled PV satellite images and embed distinct PV characteristics/features for training the classifier. Furthermore, the PV localization and quantification result is combined with geographic information, historical weather conditions and neighboring generation patterns to estimate power output at the system edge. We validate the proposed approaches on PV systems in the southwest of the U.S. Experiment results show high accuracy and robustness in predicting distributed solar power without sufficient prior information.</t>
  </si>
  <si>
    <t>power distribution grids experiences proliferation of solar photovoltaics (pv) at the system edge. however, its counterpart of sparse meter deployment provides insufficient monitoring of pvs, for which the potential violations challenge the operators for energy management and stable operation. some previous works use satellite imagery to detect distributed pvs for the easy access of data. however, their pv localization methods rely on label-rich area with unitary background/environment to implement well; even further/harder, they do not provide precise metered-pv detection and quantification to estimate/know pv generation outputs in unobservable area, which is essential to prevent the edge from excessive two-way power flow and other violations. thus, we combine the two steps of detecting pv existence and quantify pv amount into one classification task. to boost the classification performance in unobservable edge area, we construct a generative adversarial network that simultaneous augments the diversity of labelled pv satellite images and embed distinct pv characteristics/features for training the classifier. furthermore, the pv localization and quantification result is combined with geographic information, historical weather conditions and neighboring generation patterns to estimate power output at the system edge. we validate the proposed approaches on pv systems in the southwest of the u.s. experiment results show high accuracy and robustness in predicting distributed solar power without sufficient prior information.</t>
  </si>
  <si>
    <t>Coordinated Low-Carbon Dispatching on Source-Demand Side for Integrated Electricity-Gas System Based on Integrated Demand Response Exchange</t>
  </si>
  <si>
    <t>With the exploration of deep decarbonization around the world, the contradiction between the low-carbon operation and energy supply in energy systems has been aggravating. There is an urgent need to tap the interactive potential between source and demand sides. In view of the current lack of efficient incentive measures for low-carbon energy consumption, an integrated demand response exchange (IDRX) mechanism is proposed to promote the coordinated low-carbon dispatching on source-demand side for integrated electricity-gas system (IEGS). The value model of IDRX for emission reduction is built to measure the ability of multi-energy load aggregators (MELAs) for decarbonization, and guide the IEGS operator to trade with the appropriate MELAs. An IDRX market clearing model is established based on non-cooperative game theory to allocate the decarbonization benefits among the entities in IEGS, thereby motivating the low-carbon demand response of users. Combined with the optimal operation of carbon capture power plant and power-to-gas (CCPP-P2G) on the source side, a two-stage low-carbon dispatching model for IEGS is established. Case studies are carried out with seasonal and uncertainty scenarios to verify the effectiveness of IDRX in emission mitigation and highlight the economic benefits of the proposed low-carbon dispatching model.</t>
  </si>
  <si>
    <t>with the exploration of deep decarbonization around the world, the contradiction between the low-carbon operation and energy supply in energy systems has been aggravating. there is an urgent need to tap the interactive potential between source and demand sides. in view of the current lack of efficient incentive measures for low-carbon energy consumption, an integrated demand response exchange (idrx) mechanism is proposed to promote the coordinated low-carbon dispatching on source-demand side for integrated electricity-gas system (iegs). the value model of idrx for emission reduction is built to measure the ability of multi-energy load aggregators (melas) for decarbonization, and guide the iegs operator to trade with the appropriate melas. an idrx market clearing model is established based on non-cooperative game theory to allocate the decarbonization benefits among the entities in iegs, thereby motivating the low-carbon demand response of users. combined with the optimal operation of carbon capture power plant and power-to-gas (ccpp-p2g) on the source side, a two-stage low-carbon dispatching model for iegs is established. case studies are carried out with seasonal and uncertainty scenarios to verify the effectiveness of idrx in emission mitigation and highlight the economic benefits of the proposed low-carbon dispatching model.</t>
  </si>
  <si>
    <t>Comprehensive-Contribution-Based Primary Frequency Regulation Market Design for the Converter-Integrated Power System</t>
  </si>
  <si>
    <t>The rising penetration of renewable energy leads to the integration of numerous converter-interfaced generators (CIG) in the power system. Equipped with high frequency regulation performance, CIGs are appropriate providers of the primary frequency regulation (PFR) service, which refers to the self-controlled frequency regulation service. To clarify the deserved compensation of each unit from providing PFR service in the converter-integrated power system (CIPS), a comprehensive-contribution-based PFR market is designed in this article. First, the unified transfer function structure (UTFS) is introduced to model the frequency dynamics of the CIPS. Specifically, the system frequency nadir, the rate-of-change-of-frequency (RoCoF), and the output dynamics of each unit during PFR are obtained from the UTFS. Second, given the detailed dynamic information of the CIPS, we propose a dynamic constrained market clearing model (DCMCM) and a quantification method of units' contribution to the PFR market. Units' contribution to the frequency nadir, the RoCoF, and the mileage are comprehensively considered in the proposed method, which is capable to measure the contribution of CIGs. Furthermore, settlement rules which match with the proposed comprehensive contribution are proposed for the PFR market. Finally, the case study results show that units with better frequency regulation performance can benefit more, based on the proposed market mechanism. Compared with the commonly used mileage-based contribution quantification method, the proposed approach is more suitable for CIGs.</t>
  </si>
  <si>
    <t>the rising penetration of renewable energy leads to the integration of numerous converter-interfaced generators (cig) in the power system. equipped with high frequency regulation performance, cigs are appropriate providers of the primary frequency regulation (pfr) service, which refers to the self-controlled frequency regulation service. to clarify the deserved compensation of each unit from providing pfr service in the converter-integrated power system (cips), a comprehensive-contribution-based pfr market is designed in this article. first, the unified transfer function structure (utfs) is introduced to model the frequency dynamics of the cips. specifically, the system frequency nadir, the rate-of-change-of-frequency (rocof), and the output dynamics of each unit during pfr are obtained from the utfs. second, given the detailed dynamic information of the cips, we propose a dynamic constrained market clearing model (dcmcm) and a quantification method of units contribution to the pfr market. units contribution to the frequency nadir, the rocof, and the mileage are comprehensively considered in the proposed method, which is capable to measure the contribution of cigs. furthermore, settlement rules which match with the proposed comprehensive contribution are proposed for the pfr market. finally, the case study results show that units with better frequency regulation performance can benefit more, based on the proposed market mechanism. compared with the commonly used mileage-based contribution quantification method, the proposed approach is more suitable for cigs.</t>
  </si>
  <si>
    <t>Cyber-Physical Attack Launched From EVSE Botnet</t>
  </si>
  <si>
    <t>With the development of electric vehicles, millions of electric vehicle service equipment (EVSE) are integrated into the power grid. These EVSEs are weakly protected from cyber-attacks. By exploiting vulnerabilities, attackers could establish a botnet integrating hundred-MW-level EVSE loads from the Internet. Dynamic load-altering attack (DLAA) is powerful to amplify the load disturbance to destabilize the power grid. However, different from large-scale loads controlled by existing DLAA, the EVSE botnet is formulated by tens of thousands of bots widely distributed on various power grid nodes, rendering it challenging to be coordinated. In this article, we analyze the approach to launching a DLAA from the distributed EVSE botnet. Firstly, we adopt a time-division model to evaluate the impact of communication limitations on the attack vectors of the botnet. Then we develop an analytical model to calculate the coordinated effect of attack vectors from different nodes and with varying phase angles; thus, we provide a foundation for the optimal coordination of distributed bots. Subsequently, considering the power grid has adopted defense measures to eliminate or suppress the attack, we formulate an optimization algorithm to make the attack robust against these potential defense measures. Numerical simulations validate the effectiveness of the proposed approach.</t>
  </si>
  <si>
    <t>Pablo</t>
  </si>
  <si>
    <t>with the development of electric vehicles, millions of electric vehicle service equipment (evse) are integrated into the power grid. these evses are weakly protected from cyber-attacks. by exploiting vulnerabilities, attackers could establish a botnet integrating hundred-mw-level evse loads from the internet. dynamic load-altering attack (dlaa) is powerful to amplify the load disturbance to destabilize the power grid. however, different from large-scale loads controlled by existing dlaa, the evse botnet is formulated by tens of thousands of bots widely distributed on various power grid nodes, rendering it challenging to be coordinated. in this article, we analyze the approach to launching a dlaa from the distributed evse botnet. firstly, we adopt a time-division model to evaluate the impact of communication limitations on the attack vectors of the botnet. then we develop an analytical model to calculate the coordinated effect of attack vectors from different nodes and with varying phase angles; thus, we provide a foundation for the optimal coordination of distributed bots. subsequently, considering the power grid has adopted defense measures to eliminate or suppress the attack, we formulate an optimization algorithm to make the attack robust against these potential defense measures. numerical simulations validate the effectiveness of the proposed approach.</t>
  </si>
  <si>
    <t>A Dynamic Equivalent Method for PMSG-WTG Based Wind Farms Considering Wind Speeds and Fault Severities</t>
  </si>
  <si>
    <t>The dynamic security assessment of power systems needs to scan contingencies in a preselected set through time-domain simulations. With more and more wind power generation integrated into power systems, the complexity of simulation will increase greatly if wind farms are modeled in detail. Thus, it is critical to develop dynamic equivalent methods for wind farms. The dynamic response characteristics of permanent magnet synchronous generator-wind turbine generators (PMSG-WTGs) are not only influenced by their control strategies, but also by the operating wind speeds and the fault severities. Thus, this article proposes a dynamic equivalent method for a PMSG-WTG based wind farm considering the wind speeds and the fault severities. Firstly, we propose a clustering method based on the operating wind speed and the terminal voltage of each PMSG-WTG at the end of the fault. Then, a single-machine equivalent method is introduced for each cluster of PMSG-WTGs. For the cluster of PMSG-WTGs with active power ramp recovery process, an equivalent model with segmented ramp rate limitation for active current is designed. In order to obtain the clustering indicators, a simulation-based iterative method is put forward. Eventually, the efficiency and accuracy of the proposed method are verified by the simulation results.</t>
  </si>
  <si>
    <t>the dynamic security assessment of power systems needs to scan contingencies in a preselected set through time-domain simulations. with more and more wind power generation integrated into power systems, the complexity of simulation will increase greatly if wind farms are modeled in detail. thus, it is critical to develop dynamic equivalent methods for wind farms. the dynamic response characteristics of permanent magnet synchronous generator-wind turbine generators (pmsg-wtgs) are not only influenced by their control strategies, but also by the operating wind speeds and the fault severities. thus, this article proposes a dynamic equivalent method for a pmsg-wtg based wind farm considering the wind speeds and the fault severities. firstly, we propose a clustering method based on the operating wind speed and the terminal voltage of each pmsg-wtg at the end of the fault. then, a single-machine equivalent method is introduced for each cluster of pmsg-wtgs. for the cluster of pmsg-wtgs with active power ramp recovery process, an equivalent model with segmented ramp rate limitation for active current is designed. in order to obtain the clustering indicators, a simulation-based iterative method is put forward. eventually, the efficiency and accuracy of the proposed method are verified by the simulation results.</t>
  </si>
  <si>
    <t>Active Power Sharing Scheme in a PV Integrated DC Microgrid With Composite Energy Storage Devices</t>
  </si>
  <si>
    <t>A PV-integrated isolated DC microgrid has the potential to supply the electricity in remote areas with high reliability through greener and cheaper renewable energy resources (RERs). Having in mind the uncertainties in the RERs due to climatic changes, a combined application of battery and supercapacitor as composite energy storage devices (CESDs) in the DC microgrid is presented in this article. The purpose of CESD is to compensate the power imbalance caused by the intermittency of renewable sources and varying load demands. The power allocation in the composite energy storage system is a major concern and also it remains a challenging issue in conventional techniques. Hence, in this article, the problem is resolved by implementing an improved mixed droop technique (IMDT) with optimized steady-state as well as transient performances. With the proposed technique, the supercapacitor compensates all the fast power fluctuations in the system, while the battery supplies only the average power at steady-state. This control strategy advances the consistency of the system, dynamic restoration of the DC bus voltage, and reduces current stress from the battery units. Both MATLAB simulation and experiments are conducted to validate the effectiveness of the proposed strategy. Also, the scheme is verified for a large-scale ${\text{71 kW}}$ PV generating system through simulation.</t>
  </si>
  <si>
    <t>a pv-integrated isolated dc microgrid has the potential to supply the electricity in remote areas with high reliability through greener and cheaper renewable energy resources (rers). having in mind the uncertainties in the rers due to climatic changes, a combined application of battery and supercapacitor as composite energy storage devices (cesds) in the dc microgrid is presented in this article. the purpose of cesd is to compensate the power imbalance caused by the intermittency of renewable sources and varying load demands. the power allocation in the composite energy storage system is a major concern and also it remains a challenging issue in conventional techniques. hence, in this article, the problem is resolved by implementing an improved mixed droop technique (imdt) with optimized steady-state as well as transient performances. with the proposed technique, the supercapacitor compensates all the fast power fluctuations in the system, while the battery supplies only the average power at steady-state. this control strategy advances the consistency of the system, dynamic restoration of the dc bus voltage, and reduces current stress from the battery units. both matlab simulation and experiments are conducted to validate the effectiveness of the proposed strategy. also, the scheme is verified for a large-scale text71 kw pv generating system through simulation.</t>
  </si>
  <si>
    <t>A Novel Failure-Distribution-Dependent Non-Fragile $H_\infty$ Fault-Tolerant Load Frequency Control for Faulty Multi-Area Power Systems</t>
  </si>
  <si>
    <t>This article studies the non-fragile $H_\infty$ fault-tolerant load frequency control problem for multi-area power systems with actuator failures. At first, considering the distribution characteristics of partial failures, a stochastic distribution model is established for actuator partial failures. Next, for the perturbations of controller gains, not only the additive uncertainties but also the multiplicative uncertainties are incorporated into the fault-tolerant controller design. The coupling items which hardly directly solved have turned into a W-problem in fault-tolerant load frequency control. Furthermore, a novel failure-distribution-dependent non-fragile $H_\infty$ fault-tolerant load frequency control algorithm is given by using linear matrix inequalities technology and Lyapunov-Krasovskii functional method. Finally, a numerical example with a three-area power system is given to show the effectiveness of the proposed methods.</t>
  </si>
  <si>
    <t>this article studies the non-fragile hinfty fault-tolerant load frequency control problem for multi-area power systems with actuator failures. at first, considering the distribution characteristics of partial failures, a stochastic distribution model is established for actuator partial failures. next, for the perturbations of controller gains, not only the additive uncertainties but also the multiplicative uncertainties are incorporated into the fault-tolerant controller design. the coupling items which hardly directly solved have turned into a w-problem in fault-tolerant load frequency control. furthermore, a novel failure-distribution-dependent non-fragile hinfty fault-tolerant load frequency control algorithm is given by using linear matrix inequalities technology and lyapunov-krasovskii functional method. finally, a numerical example with a three-area power system is given to show the effectiveness of the proposed methods.</t>
  </si>
  <si>
    <t>Optimal Primary Frequency Reserve Provision by an Aggregator Considering Nonlinear Unit Dynamics</t>
  </si>
  <si>
    <t>Power system operators are increasingly procuring frequency regulation reserves from distributed energy resources via aggregators. Provision of the frequency regulation services by the aggregators can be studied from different aspects and by using different models, ranging from very-short-run to long-term scheduling models. By developing a methodology for ensuring the operational model's compliance with the dynamic constraints, this article bridges the gap between economic studies of the aggregator's frequency containment reserve market participation on the one hand and the distributed energy resources' dynamic response on the other. The article presents a mixed-integer linear program for the aggregator's portfolio management that incorporates constraints of individual units' fast dynamics, and validates them via dynamic simulations. The results demonstrate the importance of including reserve activation constraints when modelling storage technologies and settling time constraints when modelling conventional units.</t>
  </si>
  <si>
    <t>power system operators are increasingly procuring frequency regulation reserves from distributed energy resources via aggregators. provision of the frequency regulation services by the aggregators can be studied from different aspects and by using different models, ranging from very-short-run to long-term scheduling models. by developing a methodology for ensuring the operational models compliance with the dynamic constraints, this article bridges the gap between economic studies of the aggregators frequency containment reserve market participation on the one hand and the distributed energy resources dynamic response on the other. the article presents a mixed-integer linear program for the aggregators portfolio management that incorporates constraints of individual units fast dynamics, and validates them via dynamic simulations. the results demonstrate the importance of including reserve activation constraints when modelling storage technologies and settling time constraints when modelling conventional units.</t>
  </si>
  <si>
    <t>Graph Learning-Based Voltage Regulation in Distribution Networks With Multi-Microgrids</t>
  </si>
  <si>
    <t>Microgrids (MGs), as localized small power systems, can effectively provide voltage regulation services for distribution networks by integrating and managing various distributed energy resources. Existing literature employs model-based optimization approaches to formulate the voltage regulation problem of multi-MGs, which require complete system models. However, this assumption is normally impractical due to time-varying environment and privacy issues. To fill this research gap, this paper suggests a data-driven decentralized framework for the cost-effective voltage regulation of a distribution network with multi-MGs. A novel multi-agent reinforcement learning method featuring an augmented graph convolutional network and a proximal policy optimization algorithm is proposed to solve this problem. Furthermore, the techniques of critical bus and electrical distance enhance the capability of feature extractions from the distribution network, allowing for the decentralized training with privacy preserving. Simulation results based on modified IEEE 33-bus, 69-bus, and 123-bus networks are developed to validate the effectiveness of the proposed method in enabling multi-MGs to provide distribution network voltage regulation.</t>
  </si>
  <si>
    <t>microgrids (mgs), as localized small power systems, can effectively provide voltage regulation services for distribution networks by integrating and managing various distributed energy resources. existing literature employs model-based optimization approaches to formulate the voltage regulation problem of multi-mgs, which require complete system models. however, this assumption is normally impractical due to time-varying environment and privacy issues. to fill this research gap, this paper suggests a data-driven decentralized framework for the cost-effective voltage regulation of a distribution network with multi-mgs. a novel multi-agent reinforcement learning method featuring an augmented graph convolutional network and a proximal policy optimization algorithm is proposed to solve this problem. furthermore, the techniques of critical bus and electrical distance enhance the capability of feature extractions from the distribution network, allowing for the decentralized training with privacy preserving. simulation results based on modified ieee 33-bus, 69-bus, and 123-bus networks are developed to validate the effectiveness of the proposed method in enabling multi-mgs to provide distribution network voltage regulation.</t>
  </si>
  <si>
    <t>Adaptive Frequency Droop Feedback Control-Based Power Tracking Operation of a DFIG for Temporary Frequency Regulation</t>
  </si>
  <si>
    <t>Frequency regulation scheme of doubly-fed induction generators (DFIGs) are implemented to improve the frequency stability achieving by rotor speed control. However, the coupling dynamics between the maximum power point tracking operation control loop and frequency regulation control loop would impair the frequency regulation capability. To eliminate the adverse influences, firstly, analytical derivation for coupling output power dynamics is represented when adopting frequency regulation scheme of the DFIG. Then, an adaptive frequency droop feedback control based on power tracking operation strategy, which is a decoupling control scheme for frequency regulation, is proposed to respond the dynamic grid frequency without reserving power. The frequency deviation-based droop control with dynamics gains is used to calculate the coefficient of power tracking operation of the DFIG. The system stability with various power tracking operation of the DFIG is analyzed, in addition, the stable boundary is used to limit the setting of coefficient of power tracking operation. Simulations are carried based on an EMTP-RV simulator. It is found that the suggested adaptive frequency droop feedback control based on power tracking strategy can provide dual frequency regulation capability and reduce the maximum frequency excursion under various scenarios.</t>
  </si>
  <si>
    <t>frequency regulation scheme of doubly-fed induction generators (dfigs) are implemented to improve the frequency stability achieving by rotor speed control. however, the coupling dynamics between the maximum power point tracking operation control loop and frequency regulation control loop would impair the frequency regulation capability. to eliminate the adverse influences, firstly, analytical derivation for coupling output power dynamics is represented when adopting frequency regulation scheme of the dfig. then, an adaptive frequency droop feedback control based on power tracking operation strategy, which is a decoupling control scheme for frequency regulation, is proposed to respond the dynamic grid frequency without reserving power. the frequency deviation-based droop control with dynamics gains is used to calculate the coefficient of power tracking operation of the dfig. the system stability with various power tracking operation of the dfig is analyzed, in addition, the stable boundary is used to limit the setting of coefficient of power tracking operation. simulations are carried based on an emtp-rv simulator. it is found that the suggested adaptive frequency droop feedback control based on power tracking strategy can provide dual frequency regulation capability and reduce the maximum frequency excursion under various scenarios.</t>
  </si>
  <si>
    <t>Achieving Emission-Reduction Goals: Multi-Period Power-System Expansion Under Short-Term Operational Uncertainty</t>
  </si>
  <si>
    <t>Stochastic adaptive robust optimization is capable of handling short-term uncertainties in demand and variable renewable-energy sources that affect investment in generation and transmission capacity. We build on this setting by considering a multi-year investment horizon for finding the optimal plan for generation and transmission capacity expansion while reducing greenhouse gas emissions. In addition, we incorporate multiple hours in power-system operations to capture hydropower operations and flexibility requirements for utilizing variable renewable-energy sources such as wind and solar power. To improve the computational performance of existing exact methods for this problem, we employ Benders decomposition and solve a mixed-integer quadratic programming problem to avoid computationally expensive big-M linearizations. The results for a realistic case study for the Nordic and Baltic region indicate which investments in transmission, wind power, and flexible generation capacity are required for reducing greenhouse gas emissions. Through out-of-sample experiments, we show that the stochastic adaptive robust model leads to lower expected costs than a stochastic programming model under increasingly stringent environmental considerations.</t>
  </si>
  <si>
    <t>stochastic adaptive robust optimization is capable of handling short-term uncertainties in demand and variable renewable-energy sources that affect investment in generation and transmission capacity. we build on this setting by considering a multi-year investment horizon for finding the optimal plan for generation and transmission capacity expansion while reducing greenhouse gas emissions. in addition, we incorporate multiple hours in power-system operations to capture hydropower operations and flexibility requirements for utilizing variable renewable-energy sources such as wind and solar power. to improve the computational performance of existing exact methods for this problem, we employ benders decomposition and solve a mixed-integer quadratic programming problem to avoid computationally expensive big-m linearizations. the results for a realistic case study for the nordic and baltic region indicate which investments in transmission, wind power, and flexible generation capacity are required for reducing greenhouse gas emissions. through out-of-sample experiments, we show that the stochastic adaptive robust model leads to lower expected costs than a stochastic programming model under increasingly stringent environmental considerations.</t>
  </si>
  <si>
    <t>Adaptive Load Shedding as Part of Primary Frequency Response To Support Networked Microgrid Operations</t>
  </si>
  <si>
    <t>Global changes in the deployment of distributed energy resources, control and communications technologies, business models, and regulatory policy are increasing the operational options for future distribution systems. One such option is the coordinated operation of distributed resources to form microgrids and networks of microgrids to support traditional bulk power systems during normal operations and critical end-use loads during outages. While individual standalone microgrids have been extensively studied and deployed, the coordinated operation of networked microgrids is operationally more challenging due to the dynamic boundaries and changing mix of generation resources. This paper presents a method of using a distributed control architecture to support primary frequency response in networked microgrids operations. The support of primary frequency response is accomplished using the Open Field Message Bus reference architecture and Grid Friendly Appliance controllers.</t>
  </si>
  <si>
    <t>global changes in the deployment of distributed energy resources, control and communications technologies, business models, and regulatory policy are increasing the operational options for future distribution systems. one such option is the coordinated operation of distributed resources to form microgrids and networks of microgrids to support traditional bulk power systems during normal operations and critical end-use loads during outages. while individual standalone microgrids have been extensively studied and deployed, the coordinated operation of networked microgrids is operationally more challenging due to the dynamic boundaries and changing mix of generation resources. this paper presents a method of using a distributed control architecture to support primary frequency response in networked microgrids operations. the support of primary frequency response is accomplished using the open field message bus reference architecture and grid friendly appliance controllers.</t>
  </si>
  <si>
    <t>Risk-Based Hosting Capacity Analysis in Distribution Systems</t>
  </si>
  <si>
    <t>Solar hosting capacity analysis (HCA) assesses the ability of a distribution network to host distributed solar generation without seriously violating distribution network constraints. In this paper, we consider risk-sensitive HCA that limits the risk of network constraint violations with a collection of scenarios of solar irradiance and nodal power demands, where risk is modeled via the conditional value at risk (CVaR) measure. First, we consider the question of maximizing aggregate installed solar capacities, subject to risk constraints and solve it as a second-order cone program (SOCP) with a standard conic relaxation of the feasible set of the power flow equations. Second, we design an incremental algorithm to decide whether a configuration of solar installations has acceptable risk of constraint violations, modeled via CVaR. The algorithm circumvents explicit risk computation by incrementally constructing inner and outer polyhedral approximations of the set of acceptable solar installation configurations from prior such tests conducted. Our numerical examples study the impact of risk parameters, the number of scenarios and the scalability of our framework.</t>
  </si>
  <si>
    <t>solar hosting capacity analysis (hca) assesses the ability of a distribution network to host distributed solar generation without seriously violating distribution network constraints. in this paper, we consider risk-sensitive hca that limits the risk of network constraint violations with a collection of scenarios of solar irradiance and nodal power demands, where risk is modeled via the conditional value at risk (cvar) measure. first, we consider the question of maximizing aggregate installed solar capacities, subject to risk constraints and solve it as a second-order cone program (socp) with a standard conic relaxation of the feasible set of the power flow equations. second, we design an incremental algorithm to decide whether a configuration of solar installations has acceptable risk of constraint violations, modeled via cvar. the algorithm circumvents explicit risk computation by incrementally constructing inner and outer polyhedral approximations of the set of acceptable solar installation configurations from prior such tests conducted. our numerical examples study the impact of risk parameters, the number of scenarios and the scalability of our framework.</t>
  </si>
  <si>
    <t>Distributed Unified Controller Design for Parallel Battery Storage System in DC Shipboard Microgrid</t>
  </si>
  <si>
    <t>In this paper, a novel distributed unified controller is designed to solve the problems of unbalanced State of Charge (SoC), unreasonable load current sharing, and unstable DC bus voltage for parallel battery storage systems (BSSs) in DC shipboard microgrid (DC-SMG). Different from the droop-based secondary controller, the designed distributed unified controller is a droop-free primary controller, which can incorporate SoC balancing, current sharing, and voltage regulation functions in the primary control layer. On this basis, each BSS uses an improved dynamic diffusion algorithm (DDA) to iteratively estimate the average information, and completes information exchange by a neighbor-to-neighbor communication network. Furthermore, the small-signal stability, large-signal stability, and global steady-state performance of the system is investigated using eigenvalue analysis, mixed potential theory (MPT), and matrix theory, respectively. Finally, the Matlab/Simulink simulation model and the StarSim HIL experimental platform for DC-SMG are built. The results show that the designed distributed unified controller can simultaneously achieve dynamic SoC balancing, proportional load current sharing, and smooth average bus voltage regulation, and has a faster SoC convergence speed and more stable control effect than the state-of-the-art methods.</t>
  </si>
  <si>
    <t>in this paper, a novel distributed unified controller is designed to solve the problems of unbalanced state of charge (soc), unreasonable load current sharing, and unstable dc bus voltage for parallel battery storage systems (bsss) in dc shipboard microgrid (dc-smg). different from the droop-based secondary controller, the designed distributed unified controller is a droop-free primary controller, which can incorporate soc balancing, current sharing, and voltage regulation functions in the primary control layer. on this basis, each bss uses an improved dynamic diffusion algorithm (dda) to iteratively estimate the average information, and completes information exchange by a neighbor-to-neighbor communication network. furthermore, the small-signal stability, large-signal stability, and global steady-state performance of the system is investigated using eigenvalue analysis, mixed potential theory (mpt), and matrix theory, respectively. finally, the matlab/simulink simulation model and the starsim hil experimental platform for dc-smg are built. the results show that the designed distributed unified controller can simultaneously achieve dynamic soc balancing, proportional load current sharing, and smooth average bus voltage regulation, and has a faster soc convergence speed and more stable control effect than the state-of-the-art methods.</t>
  </si>
  <si>
    <t>Learning Power Grid Outages With Higher-Order Topological Neural Networks</t>
  </si>
  <si>
    <t>With the increase in cyber-physical threats and extreme weather events, resilience of the power system has become a problem of utmost societal importance. In this article, we propose a novel approach for resilience improvement of power distribution networks, based on the notions of persistent homology and simplicial neural networks (SNNs) which are new directions in graph learning. In particular, tools of persistent homology allow us to capture the most essential topological descriptors of the distribution network. In turn, extending the convolutional operation to simplicial complexes on the distribution network, using the Hodge-Laplacian analytics, enables us to describe complex interactions among multi-node higher order graph substructures. Such higher order graph substructures are of particular importance in distribution networks, since a change in power demand at a load bus (or the power supplied from a substation) will produce a corresponding perturbation in nodal variables (such as the bus voltages) and edge variables (such as branch currents). We validate our new Higher-Order Topological Neural Networks (HOT-Nets) model for contingency classification of three test distribution networks, the IEEE 37-bus feeder, IEEE 123-bus feeder, and the 342-bus low voltage network. Our experiment results on two case studies (i.e., (i) with sensors placed at all the buses alone in the networks and (ii) with partial observability in the networks) indicate that HOT-Nets substantially outperforms 9 state-of-the-art methods, yielding relative gains of up to 14.04% in terms of system resilience classification.</t>
  </si>
  <si>
    <t>with the increase in cyber-physical threats and extreme weather events, resilience of the power system has become a problem of utmost societal importance. in this article, we propose a novel approach for resilience improvement of power distribution networks, based on the notions of persistent homology and simplicial neural networks (snns) which are new directions in graph learning. in particular, tools of persistent homology allow us to capture the most essential topological descriptors of the distribution network. in turn, extending the convolutional operation to simplicial complexes on the distribution network, using the hodge-laplacian analytics, enables us to describe complex interactions among multi-node higher order graph substructures. such higher order graph substructures are of particular importance in distribution networks, since a change in power demand at a load bus (or the power supplied from a substation) will produce a corresponding perturbation in nodal variables (such as the bus voltages) and edge variables (such as branch currents). we validate our new higher-order topological neural networks (hot-nets) model for contingency classification of three test distribution networks, the ieee 37-bus feeder, ieee 123-bus feeder, and the 342-bus low voltage network. our experiment results on two case studies (i.e., (i) with sensors placed at all the buses alone in the networks and (ii) with partial observability in the networks) indicate that hot-nets substantially outperforms 9 state-of-the-art methods, yielding relative gains of up to 14.04% in terms of system resilience classification.</t>
  </si>
  <si>
    <t>A Distributed-MPC Framework for Voltage Control Under Discrete Time-Wise Variable Generation/Load</t>
  </si>
  <si>
    <t>This article presents a distributed predictive design for real-time voltage control under changing load and generation profiles at discrete intervals. The existing control designs include centralized approach, providing an optimal solution but less scalable and susceptible to single-point failures/attacks, as well as decentralized or localized approach, having increased scalability and attack resilience but lacking optimality. The proposed distributed solution offers the attractive features of both approaches, where the neighboring nodes share their local information to attain an optimal solution while retaining scalability and resilience to single-point failures/attacks. We first introduce the centralized version of the voltage control problem assuming grid observability and then transfer it to the distributed versions based on both bus-wise and area-wise decompositions of the network. The distributed version is solved via alternating direction method of multipliers (ADMM) that, for bus-wise decomposition, needs a full set of local measurements, whereas only a partial set of local measurements (that guarantee area-wise grid observability for each area) is needed for area-wise decomposition, along with neighbor-to-neighbor communications. Additionally, leveraging the availability of measurement data, the framework includes a distributed method to estimate the admittance matrix $\mathbf {Y}$ of the underlying network graph. The proposed framework is validated against IEEE-30, IEEE-57 bus transmission systems, and IEEE-123 bus distribution systems and can tolerate certain levels of generation/load prediction uncertainties, modeling errors, and communication failures; plus, its in-built redundancy supports attack detection.</t>
  </si>
  <si>
    <t>this article presents a distributed predictive design for real-time voltage control under changing load and generation profiles at discrete intervals. the existing control designs include centralized approach, providing an optimal solution but less scalable and susceptible to single-point failures/attacks, as well as decentralized or localized approach, having increased scalability and attack resilience but lacking optimality. the proposed distributed solution offers the attractive features of both approaches, where the neighboring nodes share their local information to attain an optimal solution while retaining scalability and resilience to single-point failures/attacks. we first introduce the centralized version of the voltage control problem assuming grid observability and then transfer it to the distributed versions based on both bus-wise and area-wise decompositions of the network. the distributed version is solved via alternating direction method of multipliers (admm) that, for bus-wise decomposition, needs a full set of local measurements, whereas only a partial set of local measurements (that guarantee area-wise grid observability for each area) is needed for area-wise decomposition, along with neighbor-to-neighbor communications. additionally, leveraging the availability of measurement data, the framework includes a distributed method to estimate the admittance matrix mathbf y of the underlying network graph. the proposed framework is validated against ieee-30, ieee-57 bus transmission systems, and ieee-123 bus distribution systems and can tolerate certain levels of generation/load prediction uncertainties, modeling errors, and communication failures; plus, its in-built redundancy supports attack detection.</t>
  </si>
  <si>
    <t>Non-Iterative Solution for Coordinated Optimal Dispatch via Equivalent ProjectionÃ¢â‚¬â€Part II: Method and Applications</t>
  </si>
  <si>
    <t>This two-part paper develops a non-iterative coordinated optimal dispatch framework, i.e., free of iterative information exchange, via the innovation of the equivalent projection (EP) theory. The EP eliminates internal variables from technical and economic operation constraints of the subsystem and obtains an equivalent model with reduced scale, which is the key to the non-iterative coordinated optimization. In Part II of this paper, a novel projection algorithm with the explicit error guarantee measured by the Hausdorff distance is proposed, which characterizes the EP model by the convex hull of its vertices. This algorithm is proven to yield a conservative approximation within the prespecified error tolerance and can obtain the exact EP model if the error tolerance is set to zero, which provides flexibility to balance the computation accuracy and effort. Applications of the EP-based coordinated dispatch are demonstrated based on the multi-area coordination and transmission-distribution coordination. Case studies with a wide range of system scales verify the superiority of the proposed projection algorithm in terms of computational efficiency and scalability, and validate the effectiveness of the EP-based coordinated dispatch in comparison with the joint optimization.</t>
  </si>
  <si>
    <t>this two-part paper develops a non-iterative coordinated optimal dispatch framework, i.e., free of iterative information exchange, via the innovation of the equivalent projection (ep) theory. the ep eliminates internal variables from technical and economic operation constraints of the subsystem and obtains an equivalent model with reduced scale, which is the key to the non-iterative coordinated optimization. in part ii of this paper, a novel projection algorithm with the explicit error guarantee measured by the hausdorff distance is proposed, which characterizes the ep model by the convex hull of its vertices. this algorithm is proven to yield a conservative approximation within the prespecified error tolerance and can obtain the exact ep model if the error tolerance is set to zero, which provides flexibility to balance the computation accuracy and effort. applications of the ep-based coordinated dispatch are demonstrated based on the multi-area coordination and transmission-distribution coordination. case studies with a wide range of system scales verify the superiority of the proposed projection algorithm in terms of computational efficiency and scalability, and validate the effectiveness of the ep-based coordinated dispatch in comparison with the joint optimization.</t>
  </si>
  <si>
    <t>Fractional-Order Sliding Mode Load Frequency Control and Stability Analysis for Interconnected Power Systems With Time-Varying Delay</t>
  </si>
  <si>
    <t>The universal use of open communication networks in interconnected power systems has changed the constant delay in the formerly dedicated channels into time-varying delay. The delay will deteriorate the dynamic performance of the load frequency control and lead to system frequency instability. This paper presents a fractional-order sliding mode controller for interconnected power systems with time-varying delay and performs stability analysis based on the Lyapunov direct method. Firstly, fractional-order integral sliding mode control is used to improve the stability of interconnected power systems containing time-varying delay. This expands the delay margin by taking advantage of the scalability of the fractional-order to the sliding mode surface. Then, the Riemann-Liouville fractional-order Lyapunov functional is introduced to stability analysis. This reduced the conservatism of the stability analysis by adjusting the upper limit of the functional integral. Lastly, combining Lyapunov's theory and integral inequality to obtain the stability conditions of the time-varying delay power system described by linear matrix inequality, and bring the stability margin of the system. The simulation results show that the designed controller can guarantee that the maximum delay time of the system is less than a predefined upper limit. The proposed control strategy obtains a larger stability margin than the other four scenarios. Additional simulation study was also conducted to verify its robustness to load variations and wind fluctuations.</t>
  </si>
  <si>
    <t>the universal use of open communication networks in interconnected power systems has changed the constant delay in the formerly dedicated channels into time-varying delay. the delay will deteriorate the dynamic performance of the load frequency control and lead to system frequency instability. this paper presents a fractional-order sliding mode controller for interconnected power systems with time-varying delay and performs stability analysis based on the lyapunov direct method. firstly, fractional-order integral sliding mode control is used to improve the stability of interconnected power systems containing time-varying delay. this expands the delay margin by taking advantage of the scalability of the fractional-order to the sliding mode surface. then, the riemann-liouville fractional-order lyapunov functional is introduced to stability analysis. this reduced the conservatism of the stability analysis by adjusting the upper limit of the functional integral. lastly, combining lyapunovs theory and integral inequality to obtain the stability conditions of the time-varying delay power system described by linear matrix inequality, and bring the stability margin of the system. the simulation results show that the designed controller can guarantee that the maximum delay time of the system is less than a predefined upper limit. the proposed control strategy obtains a larger stability margin than the other four scenarios. additional simulation study was also conducted to verify its robustness to load variations and wind fluctuations.</t>
  </si>
  <si>
    <t>An Efficient Half-Bridge MMC Model for EMTP-Type Simulation Based on Hybrid Numerical Integration</t>
  </si>
  <si>
    <t>Electromagnetic transient (EMT) simulation is critical and fundamental in the design and operation of the modular multilevel converter (MMC). This article proposes a highly efficient EMT simulation model for MMC based on hybrid numerical integration. The topology and operational principle of MMC are elaborated first. Based on this, an efficient simulation model for MMC is proposed. Each arm of the MMC is reduced to a two-node Norton equivalent circuit in the main network simulation. The computation of the capacitor dynamic equations is decoupled from that of the arm inductor dynamic equation. They are computed in a leapfrog manner. This makes the equivalent conductance of the MMC arm constant and greatly improves the simulation efficiency. Moreover, the dynamic equations of the capacitors are also decoupled from each other. Various operational conditions of the MMC are also considered, and accuracy and adaptability are thus ensured. Extensive studies on power systems with different scales verify the accuracy and improved efficiency of the proposed EMT simulation model for MMC.</t>
  </si>
  <si>
    <t>electromagnetic transient (emt) simulation is critical and fundamental in the design and operation of the modular multilevel converter (mmc). this article proposes a highly efficient emt simulation model for mmc based on hybrid numerical integration. the topology and operational principle of mmc are elaborated first. based on this, an efficient simulation model for mmc is proposed. each arm of the mmc is reduced to a two-node norton equivalent circuit in the main network simulation. the computation of the capacitor dynamic equations is decoupled from that of the arm inductor dynamic equation. they are computed in a leapfrog manner. this makes the equivalent conductance of the mmc arm constant and greatly improves the simulation efficiency. moreover, the dynamic equations of the capacitors are also decoupled from each other. various operational conditions of the mmc are also considered, and accuracy and adaptability are thus ensured. extensive studies on power systems with different scales verify the accuracy and improved efficiency of the proposed emt simulation model for mmc.</t>
  </si>
  <si>
    <t>Optimal Energy Utilization of MMC-HVDC System Integrating Offshore Wind Farms for Onshore Weak Grid Inertia Support</t>
  </si>
  <si>
    <t>Modular multilevel converter-based high-voltage direct current (MMC-HVDC) systems have the potential to support grid frequency by utilizing the electrostatic energy stored in sub-module capacitors. However, existing energy control schemes cannot effectively use the MMC capacitor energy to provide sufficient inertia support. Additionally, those control schemes are based on grid following control, suffering from stability issues when the AC grid short circuit ratio (SCR) decreases. Thus, a grid-forming control scheme capable of active energy management for MMC-HVDC systems integrating offshore wind farms (OWFs) is developed, achieving flexible energy regulation and stable operation under weak grid conditions. To improve inertia support performance, an optimal two-stage energy utilization method is further proposed to overcome the drawbacks of existing grid-forming methods. Finally, comparative simulations are performed in a 2-area 4-machine weak grid to verify the effectiveness and advantages of the proposed method.</t>
  </si>
  <si>
    <t>modular multilevel converter-based high-voltage direct current (mmc-hvdc) systems have the potential to support grid frequency by utilizing the electrostatic energy stored in sub-module capacitors. however, existing energy control schemes cannot effectively use the mmc capacitor energy to provide sufficient inertia support. additionally, those control schemes are based on grid following control, suffering from stability issues when the ac grid short circuit ratio (scr) decreases. thus, a grid-forming control scheme capable of active energy management for mmc-hvdc systems integrating offshore wind farms (owfs) is developed, achieving flexible energy regulation and stable operation under weak grid conditions. to improve inertia support performance, an optimal two-stage energy utilization method is further proposed to overcome the drawbacks of existing grid-forming methods. finally, comparative simulations are performed in a 2-area 4-machine weak grid to verify the effectiveness and advantages of the proposed method.</t>
  </si>
  <si>
    <t>Novel SMO-Based Detection and Isolation of False Data Injection Attacks Against Frequency Control Systems</t>
  </si>
  <si>
    <t>The integration of modern power systems with information and communication technologies exposes them to various cyber threats. Load frequency control (LFC) is a communication-based automation in power systems that regulates the frequency of the grid. Its critical role makes it a highly attractive target for adversaries. This paper proposes a novel detection and isolation method of False Data Injection Attacks (FDIAs) against LFC. The defense method employs sliding mode observation techniques to detect FDIAs against LFC in real-time and discover which parts of the control loop have been compromised. Attacks are identified by comparing the generated residuals with a specific threshold that is designed in an adaptive manner. The proposed method is able to successfully distinguish the FDIAs from other system disturbances and is robust against uncertainties in power system parameters and noisy measurements. The effectiveness and scalability of the proposed defense method are confirmed on realistic power system models, considering nonlinearities, different topologies and diverse types of transmission links.</t>
  </si>
  <si>
    <t>the integration of modern power systems with information and communication technologies exposes them to various cyber threats. load frequency control (lfc) is a communication-based automation in power systems that regulates the frequency of the grid. its critical role makes it a highly attractive target for adversaries. this paper proposes a novel detection and isolation method of false data injection attacks (fdias) against lfc. the defense method employs sliding mode observation techniques to detect fdias against lfc in real-time and discover which parts of the control loop have been compromised. attacks are identified by comparing the generated residuals with a specific threshold that is designed in an adaptive manner. the proposed method is able to successfully distinguish the fdias from other system disturbances and is robust against uncertainties in power system parameters and noisy measurements. the effectiveness and scalability of the proposed defense method are confirmed on realistic power system models, considering nonlinearities, different topologies and diverse types of transmission links.</t>
  </si>
  <si>
    <t>Revisit Impedance-Based Stability Analysis of VSC-HVDC System</t>
  </si>
  <si>
    <t>According to different partitioning styles, there exist different impedance-based stability analysis methods for complex systems such as voltage source converter (VSC)-based high-voltage direct current (HVDC) systems. Thus, the determination of the partitioning method is of importance in impedance-based stability analysis. However, how to partition a complex system is not paid much attention in the past. In this paper, the partitioning problems are revisited and a set of practical partitioning principles are proposed. Based on the principles, the VSC-HVDC system is partitioned into five parts, satisfying simplicity and integrity. In addition, the methods to form the equivalent circuits of the sub-systems are given and the equivalent circuits of the sub-systems are built, which is helpful to obtain the input-output models of the sub-systems. Furthermore, a stability criterion by directly applying the argument principle is used instead of the generalized Nyquist criterion (GNC), which could avoid the calculation of eigenvalue transfer functions, especially when a large number of sub-systems are involved. Finally, the correctness of the impedance-based stability analysis method is verified by control hardware-in-loop (CHIL) experimental results.</t>
  </si>
  <si>
    <t>according to different partitioning styles, there exist different impedance-based stability analysis methods for complex systems such as voltage source converter (vsc)-based high-voltage direct current (hvdc) systems. thus, the determination of the partitioning method is of importance in impedance-based stability analysis. however, how to partition a complex system is not paid much attention in the past. in this paper, the partitioning problems are revisited and a set of practical partitioning principles are proposed. based on the principles, the vsc-hvdc system is partitioned into five parts, satisfying simplicity and integrity. in addition, the methods to form the equivalent circuits of the sub-systems are given and the equivalent circuits of the sub-systems are built, which is helpful to obtain the input-output models of the sub-systems. furthermore, a stability criterion by directly applying the argument principle is used instead of the generalized nyquist criterion (gnc), which could avoid the calculation of eigenvalue transfer functions, especially when a large number of sub-systems are involved. finally, the correctness of the impedance-based stability analysis method is verified by control hardware-in-loop (chil) experimental results.</t>
  </si>
  <si>
    <t>Transient Stability of Synchronous Condenser Co-Located With Renewable Power Plants</t>
  </si>
  <si>
    <t>Deployment of Synchronous Condensers (SynCons) has become one popular solution in accommodating large-scale renewable energy source (RES) for existing power systems. However, as a rotating device, SynCon may lose transient rotor angle stability caused by injected active power from nearby RES after a fault. To reveal this phenomenon, the transient stability of SynCon is investigated in this article. To derive intuitive mechanism and assist quantitative analysis, the equivalent synchronous generators (ESG) model is proposed to characterize the transient behavior of SynCon and co-located RES. The Lyapunov's direct method is employed for the assessment of transient stability by analyzing attraction domain for a typical benchmark system. On this basis, an index of transient stability margin against grid strength and an adaptive low voltage ride through (LVRT) control strategy are proposed for further assessment and enhancement of transient stability. The accuracy and effectiveness of the proposed methods are verified with EMT simulations of a typical windfarm configuration.</t>
  </si>
  <si>
    <t>deployment of synchronous condensers (syncons) has become one popular solution in accommodating large-scale renewable energy source (res) for existing power systems. however, as a rotating device, syncon may lose transient rotor angle stability caused by injected active power from nearby res after a fault. to reveal this phenomenon, the transient stability of syncon is investigated in this article. to derive intuitive mechanism and assist quantitative analysis, the equivalent synchronous generators (esg) model is proposed to characterize the transient behavior of syncon and co-located res. the lyapunovs direct method is employed for the assessment of transient stability by analyzing attraction domain for a typical benchmark system. on this basis, an index of transient stability margin against grid strength and an adaptive low voltage ride through (lvrt) control strategy are proposed for further assessment and enhancement of transient stability. the accuracy and effectiveness of the proposed methods are verified with emt simulations of a typical windfarm configuration.</t>
  </si>
  <si>
    <t>Partial-Information-Based Non-Fragile Intermittent Estimator for Microgrids With Semi-Aperiodic DoS Attacks: Gain Stochastic Float</t>
  </si>
  <si>
    <t>This paper mainly focuses on the problem of non-fragile intermittent estimate tracking in microgrid systems with denial of service (DoS) attacks and gain fluctuation. Different from the common DC/AC microgrid system, the microgrid system studied in this paper involves large grid control and power line communication technology, which is more in line with the actual operating environment. Simultaneously, aiming at the occurrence of network-induced DoS attacks, an intermittent estimator based on partial measure information under cyber-attacks is designed. More importantly, instead of the existing single aperiodic or periodic DoS attacks, the DoS attacks scheme presented in this paper is semi-periodic DoS attacks whose the attack range is aperiodic and the attack width is certain. Furthermore, a variable obeying the Bernoulli distribution is proposed to characterize the randomly occurring gain fluctuation, in which the no-fragile observation is stochastic uncertain. Then, two sufficient conditions of stochastic stability of observation error system of microgrid are devised with the assistance of two different Lyapunov theories. Finally, the rationality of the developed theoretical method is verified by a numerical example.</t>
  </si>
  <si>
    <t>this paper mainly focuses on the problem of non-fragile intermittent estimate tracking in microgrid systems with denial of service (dos) attacks and gain fluctuation. different from the common dc/ac microgrid system, the microgrid system studied in this paper involves large grid control and power line communication technology, which is more in line with the actual operating environment. simultaneously, aiming at the occurrence of network-induced dos attacks, an intermittent estimator based on partial measure information under cyber-attacks is designed. more importantly, instead of the existing single aperiodic or periodic dos attacks, the dos attacks scheme presented in this paper is semi-periodic dos attacks whose the attack range is aperiodic and the attack width is certain. furthermore, a variable obeying the bernoulli distribution is proposed to characterize the randomly occurring gain fluctuation, in which the no-fragile observation is stochastic uncertain. then, two sufficient conditions of stochastic stability of observation error system of microgrid are devised with the assistance of two different lyapunov theories. finally, the rationality of the developed theoretical method is verified by a numerical example.</t>
  </si>
  <si>
    <t>Physics-Aware Neural Dynamic Equivalence of Power Systems</t>
  </si>
  <si>
    <t>This letter devises Neural Dynamic Equivalence (NeuDyE), which explores physics-aware machine learning and neural-ordinary-differential-equations (ODE-Net) to discover a dynamic equivalence of external power grids while preserving its dynamic behaviors after disturbances. The contributions are threefold: 1) an ODE-Net-enabled NeuDyE formulation to enable a continuous-time, data-driven dynamic equivalence of power systems; 2) a physics-informed NeuDyE learning method (PI-NeuDyE) to actively control the closed-loop accuracy of NeuDyE without an additional verification module; 3) a physics-guided NeuDyE (PG-NeuDyE) to enhance the method's applicability even in the absence of analytical physics models. Extensive case studies in the NPCC system validate the efficacy of NeuDyE, and, in particular, its capability under various contingencies.</t>
  </si>
  <si>
    <t>this letter devises neural dynamic equivalence (neudye), which explores physics-aware machine learning and neural-ordinary-differential-equations (ode-net) to discover a dynamic equivalence of external power grids while preserving its dynamic behaviors after disturbances. the contributions are threefold: 1) an ode-net-enabled neudye formulation to enable a continuous-time, data-driven dynamic equivalence of power systems; 2) a physics-informed neudye learning method (pi-neudye) to actively control the closed-loop accuracy of neudye without an additional verification module; 3) a physics-guided neudye (pg-neudye) to enhance the methods applicability even in the absence of analytical physics models. extensive case studies in the npcc system validate the efficacy of neudye, and, in particular, its capability under various contingencies.</t>
  </si>
  <si>
    <t>Revisiting Power Systems Time-Domain Simulation Methods and Models</t>
  </si>
  <si>
    <t>The changing nature of power systems dynamics is challenging present practices related to modeling and study of system-level dynamic behavior. While developing new techniques and models to handle the new modeling requirements, it is also critical to review some of the terminology used to describe existing simulation approaches and the embedded assumptions. This article provides a first-principles review of the simplifications and transformations commonly used in the formulation of time-domain simulation models. It introduces a taxonomy and classification of time-domain simulation models depending on their frequency bandwidth, network representation, and software availability. Furthermore, it focuses on the fundamental aspects of averaging techniques, and model reduction approaches that result in modeling choices, and discusses the associated challenges and opportunities of applying these methods in systems with large shares of Inverter Based Resources (IBRs). The article concludes with an illustrative simulation that compares the trajectories of an IBR-dominated system.</t>
  </si>
  <si>
    <t>the changing nature of power systems dynamics is challenging present practices related to modeling and study of system-level dynamic behavior. while developing new techniques and models to handle the new modeling requirements, it is also critical to review some of the terminology used to describe existing simulation approaches and the embedded assumptions. this article provides a first-principles review of the simplifications and transformations commonly used in the formulation of time-domain simulation models. it introduces a taxonomy and classification of time-domain simulation models depending on their frequency bandwidth, network representation, and software availability. furthermore, it focuses on the fundamental aspects of averaging techniques, and model reduction approaches that result in modeling choices, and discusses the associated challenges and opportunities of applying these methods in systems with large shares of inverter based resources (ibrs). the article concludes with an illustrative simulation that compares the trajectories of an ibr-dominated system.</t>
  </si>
  <si>
    <t>An Interval Prediction Method for Day-Ahead Electricity Price in Wholesale Market Considering Weather Factors</t>
  </si>
  <si>
    <t>Accurate prediction of electricity prices under uncertainties is an important and challenging problem for all electricity market participants. This article proposes a novel generative model-based prediction interval construction method for day-ahead electricity prices. A conditional time series generative adversarial network is proposed to generate realistic and diverse electricity price scenarios. With these generated price scenarios, prediction intervals can be combined. After that, a threshold select machine is proposed to truncate the threshold of random noise input to adjust the quality of prediction intervals, balancing the reliability and sharpness. Finally, shortwave irradiance, wind speed, and temperature are taken into account in the threshold select machine, further improving the reliability and the sharpness of the prediction intervals. Case studies verify the effectiveness and superiority of the proposed method.</t>
  </si>
  <si>
    <t>accurate prediction of electricity prices under uncertainties is an important and challenging problem for all electricity market participants. this article proposes a novel generative model-based prediction interval construction method for day-ahead electricity prices. a conditional time series generative adversarial network is proposed to generate realistic and diverse electricity price scenarios. with these generated price scenarios, prediction intervals can be combined. after that, a threshold select machine is proposed to truncate the threshold of random noise input to adjust the quality of prediction intervals, balancing the reliability and sharpness. finally, shortwave irradiance, wind speed, and temperature are taken into account in the threshold select machine, further improving the reliability and the sharpness of the prediction intervals. case studies verify the effectiveness and superiority of the proposed method.</t>
  </si>
  <si>
    <t>Microgrid Formation and Real-Time Scheduling of Active Distribution Networks Considering Source-Load Stochasticity</t>
  </si>
  <si>
    <t>The post-disruption microgrid (MG) formation and the subsequent scheduling are resilience-enhancing measures for active distribution networks (ADNs) against disastrous events. This article proposes an integrated MG formation and scheduling solution, considering stochastic loads and distributed generators (DGs). Specifically, a first-stage MG formation model and a second-stage MG scheduling model are proposed to flexibly identify MG boundaries and restore as many critical loads as possible. The MG formation problem is formulated over multiple time steps to address time-varying generation outputs of intermittent DGs. Moreover, in the MG scheduling problem, the stochasticity of load demands and DG outputs is modeled as joint chance constraints (JCCs) to describe the possibility of security violations in the overall system. An efficient approximation method is next developed to convexify the JCCs into solvable second-order cones. The interaction between the MG formation and scheduling by the model predictive control implementation achieves a responsive solution for enhancing the emergency support capability of ADNs by incorporating power forecasts and real-time scheduling. The performance of the proposed method is verified in a modified real-world 136-node test feeder under catastrophic failures.</t>
  </si>
  <si>
    <t>the post-disruption microgrid (mg) formation and the subsequent scheduling are resilience-enhancing measures for active distribution networks (adns) against disastrous events. this article proposes an integrated mg formation and scheduling solution, considering stochastic loads and distributed generators (dgs). specifically, a first-stage mg formation model and a second-stage mg scheduling model are proposed to flexibly identify mg boundaries and restore as many critical loads as possible. the mg formation problem is formulated over multiple time steps to address time-varying generation outputs of intermittent dgs. moreover, in the mg scheduling problem, the stochasticity of load demands and dg outputs is modeled as joint chance constraints (jccs) to describe the possibility of security violations in the overall system. an efficient approximation method is next developed to convexify the jccs into solvable second-order cones. the interaction between the mg formation and scheduling by the model predictive control implementation achieves a responsive solution for enhancing the emergency support capability of adns by incorporating power forecasts and real-time scheduling. the performance of the proposed method is verified in a modified real-world 136-node test feeder under catastrophic failures.</t>
  </si>
  <si>
    <t>Data-Driven Emergency Frequency Control for Multi-Infeed Hybrid AC-DC System</t>
  </si>
  <si>
    <t>With the continuous development of large-scale complex hybrid AC-DC grids, the fast adjustability of HVDC systems is required by the grid to provide frequency regulation services. This article develops a fully data-driven linear quadratic regulator (LQR) for the HVDC to provide temporal frequency support. The main technical challenge is the complexity and the nonlinearity of multi-infeed hybrid AC-DC (MIDC) systems dynamics that make the LQR intractable. Based on Koopman operator (KO) theory, a Koopman eigenpairs construction method is developed to fit a global linear dynamic model of MIDC systems. Once globally linear representation of uncontrolled system dynamics is obtained offline, the control term is constituted by the gradient of the identified eigenfunctions and the control matrix $\boldsymbol{B}$. In case that $\boldsymbol{B}$ is unknown, we propose a method to identify it based on the verified Koopman eigenfunctions. The active power reference is optimized online for LCC-HVDC in a moving horizon fashion to provide frequency support, with only locally measurable frequency and transmission power. The robustness of the proposed control method against approximation errors of the linear representation in eigenfunction coordinates is analyzed. Simulation results show the effectiveness, robustness and adaptability of the proposed emergency control strategy.</t>
  </si>
  <si>
    <t>with the continuous development of large-scale complex hybrid ac-dc grids, the fast adjustability of hvdc systems is required by the grid to provide frequency regulation services. this article develops a fully data-driven linear quadratic regulator (lqr) for the hvdc to provide temporal frequency support. the main technical challenge is the complexity and the nonlinearity of multi-infeed hybrid ac-dc (midc) systems dynamics that make the lqr intractable. based on koopman operator (ko) theory, a koopman eigenpairs construction method is developed to fit a global linear dynamic model of midc systems. once globally linear representation of uncontrolled system dynamics is obtained offline, the control term is constituted by the gradient of the identified eigenfunctions and the control matrix boldsymbolb. in case that boldsymbolb is unknown, we propose a method to identify it based on the verified koopman eigenfunctions. the active power reference is optimized online for lcc-hvdc in a moving horizon fashion to provide frequency support, with only locally measurable frequency and transmission power. the robustness of the proposed control method against approximation errors of the linear representation in eigenfunction coordinates is analyzed. simulation results show the effectiveness, robustness and adaptability of the proposed emergency control strategy.</t>
  </si>
  <si>
    <t>Evaluator_Affinity</t>
  </si>
  <si>
    <t>Evaluator_Affinity_Reason</t>
  </si>
  <si>
    <t>Source_Evaluator</t>
  </si>
  <si>
    <t>This abstract and the question share some themes in common mainly dealing with data.  It has no applicability to the research question and is purely tangential therefore it is at the lowest level possible.</t>
  </si>
  <si>
    <t>Mark</t>
  </si>
  <si>
    <t>This abstract and the research question share some themes and there may be some level at which the abstracts work and the research question are aligned.  The abstract has no application and is focussed on methodology.  It cannot be ranked higher because it is at best mildly related to the research question at a methodological level and is not related at a application level.</t>
  </si>
  <si>
    <t>The reqsearch question and the abstract sahre a common link to the data sets they both use.  There is no direct relationship between the research question and the abstract and the abstract has no application therefore this is the highest sore possible for this question.</t>
  </si>
  <si>
    <t>It is very possible although not directly evident that this abstract may related to and provide some methodologies that can be used to answer this research question.  However there is no obvious direct link and the abstract does not reference any application while the research question is very applied.  To score higher is not credible because of the lack of a direct link - to score lower would be ignoring the potential link.</t>
  </si>
  <si>
    <t>The abstract and the research question are in the same problem space and it is likely that they may share some things in common.  The methods and learnigs from the abstract may be applicable t the research question although th sis not clear.  The abstract has no application and is mainly theoretical while the research question is very applied hence the score is not higher.</t>
  </si>
  <si>
    <t>Abstract Index</t>
  </si>
  <si>
    <t>Max Relevancy Score</t>
  </si>
  <si>
    <t>Highest Relevancy Level</t>
  </si>
  <si>
    <t>Deduced Program (Top Question)</t>
  </si>
  <si>
    <t>Program (Abstracts List)</t>
  </si>
  <si>
    <t>Q#</t>
  </si>
  <si>
    <t>Program (Mark, filled)</t>
  </si>
  <si>
    <t>N/A</t>
  </si>
  <si>
    <t>This is an incremental piece of research that does not directly address any of the research questions but does potentially have some links to some aspects of the research agenda.</t>
  </si>
  <si>
    <t>Score rationale: 'and of'→'any of', 'paotentially'→'potentially'. Below-level rationale: 'methological'→'methodological'. 'G-PST research questions'→'research questions': E7 (x1).</t>
  </si>
  <si>
    <t xml:space="preserve">There are some potential links between the content of this abstract and the research question.  In particular Microgrids can be considered to be DERs to some extent and by controlling them you are potentially making them somewhat like an aggregated DER resource.  Some of the concepts like observability mentioned in the abstract are also potentially of interest.  </t>
  </si>
  <si>
    <t>There are some potential links between the content of this abstract and the research question.  In particular this is about DERs and accounting for the constraints that DERs have - this is linked with the primary objective of the research question which is quantification of services and constraints in the distribution system are a key to understand that. There is also potential applications is mentioned in the abstract which is at least accepting application may be important.</t>
  </si>
  <si>
    <t>There are potential links between the abstract and the research question.  In particular the abstract is addressing the British balancing market and the research question is asking can variable renewable energy provide services.  The link if it is there is on the methods side.</t>
  </si>
  <si>
    <t xml:space="preserve">There is a potential link between the abstract which is focussed on controlling wind power plants to provide so called virtual frequency response and the research question which is focussed on the IBR control paradigm.  The assumption is that IBR control and WPP control share a lot in common.  </t>
  </si>
  <si>
    <t xml:space="preserve">DERs and one of the stakeholders the prosumer are identified in the abstract which has potential links to  quantification of services from DERs and sharing of these among other stakeholders.  </t>
  </si>
  <si>
    <t>There may be some potential link between the research as described in the abstract and the research question.  This link is embodied in the focus on DERs in both the abstract and the research question but the link is at best tenuous.</t>
  </si>
  <si>
    <t xml:space="preserve">This is a methods based abstract that has some small potential link to the research agenda.  The research question is seeking methods to use when trying to account for DERs in planning and techno economic analysis and this abstract may be useful when dealing with aggregation of the spatial /DER aspects. </t>
  </si>
  <si>
    <t>This abstract addresses a distribution level challenge that can have some impact on the higher level transmission related problems that are the focus of the G-PST research agenda.  It does however have a good potential link to a real practical problem as indicated by the real distribution utility application.</t>
  </si>
  <si>
    <t>The research in this abstract has a reasonably good link to the research question.  The abstract describes a method to identify features that can be used to enhance the potential of harnessing flexibility resources.  There is reference to a real world test results which is encouraging.</t>
  </si>
  <si>
    <t xml:space="preserve">There is a potential relationship between the focus of the abstract and the G-PST research agenda.  The abstract focusses on the transmission distribution interface which is important in the DER part of the research agenda and the specific research question is looking into how reliability services in planning can account for deliverability. </t>
  </si>
  <si>
    <t xml:space="preserve">Thematically the abstract aligns very well with the IBR research program of the G-PST research agenda and specifically the research reported in this abstract addresses capability and control design.  It also deals with these issues across the range of IBRs i.e. GFM and GFL. The focus of the abstract is in addressing real issues and is not methodologically dominated which is another good sign. </t>
  </si>
  <si>
    <t>This abstract describes research that directly addresses the capability of wind plant to provide frequency control services.  It also directly addresses the control problem and there are case studies on a test network.  These are all indicative of a solid link with the research question.</t>
  </si>
  <si>
    <t>While there is good alignment from a methods perspective the practical application of the research may only be on the distribution network which may limit the research work being reported in the abstract with respect to the G-PST transmission system perspective and scope.  There is also no sign of a real practical result and a path towards deployment of the research to system operators.</t>
  </si>
  <si>
    <t>The focus of the abstract on feature selection and training using large data sets is very well aligned with the underlying research question being asked for in the G-PST research agenda research question.  Real world data along with synthetic data is also used in the abstract.</t>
  </si>
  <si>
    <t>There is a lot of synergy between the abstract and the research question specifically - aggregation, control communications and broadly speaking DERs.  Simulation results are also highlighted.  There is a real sense of the linkages here on a methodological basis between the research question and the abstract.</t>
  </si>
  <si>
    <t>The scope of the abstract and the research question share a lot in common.  They are both driven by tools in the area of IBRs and their performance and capabilities.  The abstract focusses on all types of IBRs which is showing reach and potential applicability.  The abstract mentions experimental cases which is indicative of applicability and it appears there are multiple cases which speaks to a potentially robust set of results.</t>
  </si>
  <si>
    <t xml:space="preserve">Although the word services (and IBRs) do not appear in the abstract it is directed at fast frequency response (FFR) which is a service - hence it is linked with this research question.  There are strong indications that applications are on their radar which is a positive.  </t>
  </si>
  <si>
    <t>The research reported in the abstract addresses the need for some sort of dimensionality reduction in order to deal with uncertainties which will arise in future power systems.  This is a theme of the research questions in the planning research program.  The abstract proposes a method to do this reduction and this is aligned with the methodological scope of the research question.</t>
  </si>
  <si>
    <t>Very strong link between the abstract with its focus on presenting graphically information that the user can use and interpret.  Practical application is a term used that is indicative that practical uses are being pursued.  The scale being quoted at over 2000 nodes is good to see and looks like scalability is very much in the minds of the researchers.  Case studies are done on several systems which is indicative of robustness of the results.</t>
  </si>
  <si>
    <t xml:space="preserve">There is nothing direct within the abstract to link directly to aggregation and DERs.  The links are at best second hand.  The overall application of the abstract is on a test system not a real system and there is mention of the word theoretical which is not a confidence building term with respect to a real application.  </t>
  </si>
  <si>
    <t xml:space="preserve">The focus of the abstract is on the distribution network and not the transmission network - in order for it to be scored higher it would need to focus on the transmission system.  The abstract is very focussed on the details of the formulation of an optimisation problem and some theory and not on the formulation of a real applied problem.  Test results are from a test system and not a real system with no obvious link to real industry stakeholders and/or real applications focussed work. </t>
  </si>
  <si>
    <t xml:space="preserve">The potential links identified between the abstract and the research question are possibly misleading so scoring any higher is simply not justified. may not actually have anything of value </t>
  </si>
  <si>
    <t>The link identified may not result in any synergy between the research being reported in the abstract and the research question.  While IBRs and WPPs do share some things in common the link in this instance may not actually amount to anything of interest.  There is also no mention of any real application or involvement of system operators and industry and the results are on a test system not a real system.</t>
  </si>
  <si>
    <t>The identified research question is in the services area yet the abstract is tackling a planning problem so the links identified are at best tangential and at worst non existent.  The whole area of transactive energy and markets is out of scope for research question so that is a poor indicator of strong links.  The application domain and/or time frame of the abstract and the research question may differ it looks like the abstract is targeting planning while the research question is in the operations time frame.</t>
  </si>
  <si>
    <t>An incremental piece of research is reported in the abstract and it is not directly related to the research question.  It is also fixated on methodology and only conducts some numerical experiments with no sign of a real application.</t>
  </si>
  <si>
    <t xml:space="preserve">This is an abstract with a potential link to some aspects of the G-PST research agenda in the DER space.  It shares data and aggregation of variable renewable energy within the scope of the abstract.  It is at best an incremental contribution and has only some small case studies that are not obviously directly related to the research agenda.  </t>
  </si>
  <si>
    <t xml:space="preserve">The abstract does not address a research question in any direct way - it is focussed on the distribution system and not the transmission system therefore its link to the research question is minimal.  While there is an application in the abstract it is not on the transmission system so that is a big weakness with respect to a strong link with the research question.  </t>
  </si>
  <si>
    <t>While the links are potentially strong between the abstract and the research question they are not direct.  The abstract addresses congestion but the research question is focussed on flexibility - congestion has an impact of flexibility but is not a one to one relationship.  No clear link or working relationship with a system operator is evident.</t>
  </si>
  <si>
    <t>The research in the abstract only relates to a small part of the research question and there are no signs of real practical application.  It is also not clear if the abstract can provide real planning related benefits as it is really focussed on operations so more work would need to be done to bring this research in the abstract closer to the practical research question.</t>
  </si>
  <si>
    <t>The abstract stops short of services and/or operational decision making which limits its potential linkage to the research question.  Although simulation results and experiments are noted it is not clear if they are at the right scale and applicability to be truly useful nor is it clear if a utility and/or a system operator are involved.</t>
  </si>
  <si>
    <t>The abstract falls short of being strongly linked to the research question as it does not appear to be directed fully at the IBR aspects and it is also very focussed on the device rather than on the system itself.  Furthermore the case study is on a small typical test network and there does not appear to be any system operator involvement and/or any practical insights reported in the results.</t>
  </si>
  <si>
    <t>While at a basic level the abstract describes research that looks at large complex data sets to help in power system operations the focus of the abstract is only on one aspect, congestion and there is also no sign that multiple time scales are addressed.  Therefore the abstract is potentially well linked with a very specific aspect of the research question but not the holistic aspects.  No practical next steps are identified nor is there any sign of a real system operator and/or industry partner.</t>
  </si>
  <si>
    <t xml:space="preserve">The mention of microgrids in the abstract is a big reason that this abstract does not link more strongly with the research question.  There are no indications that there are next steps to take this work further and apply with a system operator.  </t>
  </si>
  <si>
    <t>The link at the tools level may break down when real case studies are tackled.  Additionally there is no mention of a real application and the abstract is overly focussed on equations and not on real practical results.</t>
  </si>
  <si>
    <t>The abstract is a little too focussed on the fancy internal methods and not on the interesting results around fast frequency response as a service.  Also no system operator is involved and the lack of a holistic type of approach that accounts for the multiple services required and their overlap is a shortcoming.</t>
  </si>
  <si>
    <t>While there is a lot of alignment between the research question of the G-PST and the topic of the abstract it is not clear if the abstract is developing the methods for application in planning which is the focus of the research question.  There is also no sign that the work has a pathway to application with a system operator.</t>
  </si>
  <si>
    <t>The actual title of the abstract is not a good fit to the research question but the abstract text is a good fit - hence reluctance to increase the score.  There is no direct reference to control rooms which is a little concerning and there are no system operator stakeholders involved.  There is also more an emphasis on the algorithm side than on the user side and there is no mention of real time.</t>
  </si>
  <si>
    <t>No changes. 'G-PST research question'→'research question': E2 (x1). Harmonized 'paper'/'research paper'→'abstract': E2 (x2), F2 (x2).</t>
  </si>
  <si>
    <t>Score rationale: 'constrainst'→'constraints', 'papaer'→'paper'. Below-level rationale: 'transmissio'→'transmission', 'it t be'→'it to be', 'prolem'→'problem', 'an real'→'a real', 'sysytem'→'system', 'obvius'→'obvious'. 'G-PST research question'→'research question': E3 (x2). Harmonized 'paper'→'abstract': E3 (x2), F3 (x2).</t>
  </si>
  <si>
    <t>Score rationale: 'british'→'British'. Below-level rationale: 'possibling'→'possibly'. Abstract: fixed corrupted quote characters (mojibake) around 'active'. 'G-PST research question'→'research question': E4 (x1), F4 (x1). Harmonized 'paper'→'abstract': E4 (x2), F4 (x1).</t>
  </si>
  <si>
    <t>Score rationale: 'astract'→'abstract'. 'G-PST research question'→'research question': E5 (x1), F5 (x1). Harmonized 'paper'→'abstract': E5 (x1), F5 (x1).</t>
  </si>
  <si>
    <t>Score rationale: 'abstact'→'abstract', 'papaer'→'paper', 'frm'→'from', 'amoung'→'among'. Below-level rationale: 'plannig'→'planning', 'loks'→'looks', 'i sin'→'is in'. Document Title: fixed corrupted apostrophe (mojibake) in 'Prosumers''. 'G-PST research question'→'research question': F6 (x4). Harmonized 'paper'→'abstract': E6 (x1), F6 (x3).</t>
  </si>
  <si>
    <t>Score rationale: 'DErs'→'DERs', 'tenous'→'tenuous'. 'G-PST research question'→'research question': E8 (x1), F8 (x1). Harmonized 'paper'→'abstract': E8 (x1), F8 (x1).</t>
  </si>
  <si>
    <t>Score rationale: 'econmic'→'economic'. Below-level rationale: 'an potential'→'a potential', 'icremental'→'incremental'. Harmonized 'paper'→'abstract': E9 (x2), F9 (x2).</t>
  </si>
  <si>
    <t>Score rationale: 'pratctical'→'practical', 'untility'→'utility'. Below-level rationale: 'ppaer'→'paper' (x2), 'in and direct'→'in any direct', 'resect'→'respect'. Abstract: removed LaTeX artifact '$6{9}$'→'69'. 'G-PST research question'→'research question': F10 (x3). Harmonized 'paper'→'abstract': E10 (x1), F10 (x2, incl. 'The paper aspect'→'The abstract').</t>
  </si>
  <si>
    <t>Below-level rationale: 'paer'→'paper', 'i snot'→'is not', 'oneto'→'one to'. 'G-PST research question'→'research question': E11 (x1). Harmonized 'paper'→'abstract': E11 (x2), F11 (x2).</t>
  </si>
  <si>
    <t>Score rationale: 'relationshio'→'relationship'. Below-level rationale: 'ppaer'→'paper', 'te practical'→'the practical'. 'G-PST research question'→'research question': F12 (x1). Harmonized 'paper'→'abstract': E12 (x2), F12 (x3).</t>
  </si>
  <si>
    <t>Score rationale: 'ths'→'this', 'accross'→'across'. Below-level rationale: 'stpos'→'stops', 'deceson'→'decision', 'G-pST'→'G-PST', 'i snot'→'is not'. 'G-PST research question'→'research question': F13 (x1). Harmonized 'paper'→'abstract': E13 (x3), F13 (x1).</t>
  </si>
  <si>
    <t>Score rationale: 'a a test'→'a test', 'lin'→'link'. Below-level rationale: 'appaer'→'appear' (x2), 'i son'→'is on'. 'G-PST research question'→'research question': E14 (x1), F14 (x1). Harmonized 'paper'→'abstract': E14 (x1), F14 (x1).</t>
  </si>
  <si>
    <t>Score rationale: 'papaer'→'paper', 'transmssion'→'transmission', 'towrads'→'towards'. Harmonized 'paper'→'abstract': E15 (x1).</t>
  </si>
  <si>
    <t>Below-level rationale: 'G-PSt'→'G-PST', 'resarch'→'research'. 'G-PST research question'→'research question': F16 (x1). Harmonized 'paper'→'abstract': E16 (x2), F16 (x3).</t>
  </si>
  <si>
    <t>E17: "amethologcal" corrected to "a methodological". F17: "ppaer" corrected to "paper". 'G-PST research question'→'research question': E17 (x2), F17 (x1). Harmonized 'paper'→'abstract': E17 (x2), F17 (x2).</t>
  </si>
  <si>
    <t>Score rationale: 'appaers'→'appears', 'multile'→'multiple', 'speaks t a'→'speaks to a'. Below-level rationale: 'realpractical'→'real practical'. 'G-PST research question'→'research question': E18 (x1). Harmonized 'paper'→'abstract': E18 (x3), F18 (x1).</t>
  </si>
  <si>
    <t>E19: "G-pST" corrected to "G-PST". F19: "account sfor" corrected to "accounts for". 'G-PST research question'→'research question': E19 (x1). Harmonized 'paper'→'abstract': E19 (x1), F19 (x1).</t>
  </si>
  <si>
    <t>Score rationale: 'uncertainities'→'uncertainties', 'thi sis'→'This is', 'question sin'→'questions in', 'thi sreduction'→'this reduction'. Below-level rationale: 'topic f'→'topic of', 'which si'→'which is'. 'G-PST research questions'→'research questions': E20 (x1). Harmonized 'paper'→'abstract': E20 (x1), F20 (x2).</t>
  </si>
  <si>
    <t>Score rationale: 'pursueed'→'pursued', 'quaoted'→'quoted', 'scaleability'→'scalability'. Below-level rationale: 'alos'→'also'. 'G-PST research agenda question'→'research question': F21 (x1). Harmonized 'paper'→'abstract': E21 (x1), F21 (x1).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</si>
</sst>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2"/>
      <name val="Calibri"/>
      <family val="2"/>
      <scheme val="minor"/>
    </font>
    <font>
      <sz val="11"/>
      <name val="Calibri"/>
      <family val="2"/>
      <scheme val="minor"/>
    </font>
    <font>
      <sz val="9"/>
      <color indexed="81"/>
      <name val="Tahoma"/>
      <family val="2"/>
    </font>
    <font>
      <b/>
      <sz val="9"/>
      <color indexed="81"/>
      <name val="Tahoma"/>
      <family val="2"/>
    </font>
    <font>
      <sz val="10"/>
      <name val="Aptos Narrow"/>
      <family val="2"/>
    </font>
    <font>
      <sz val="11"/>
      <name val="Aptos Narrow"/>
      <family val="2"/>
    </font>
    <font>
      <sz val="11"/>
      <color rgb="FFFF0000"/>
      <name val="Calibri"/>
      <family val="2"/>
      <scheme val="minor"/>
    </font>
    <font>
      <b/>
      <sz val="11"/>
      <color rgb="FFFFFFFF"/>
      <name val="Calibri"/>
      <family val="2"/>
      <scheme val="minor"/>
    </font>
    <font>
      <sz val="11"/>
      <color rgb="FF008000"/>
      <name val="Calibri"/>
      <family val="2"/>
      <scheme val="minor"/>
    </font>
    <font>
      <sz val="11"/>
      <color rgb="FF00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1F4E78"/>
        <bgColor indexed="64"/>
      </patternFill>
    </fill>
    <fill>
      <patternFill patternType="solid">
        <fgColor rgb="FFD9E1F2"/>
        <bgColor indexed="64"/>
      </patternFill>
    </fill>
  </fills>
  <borders count="8">
    <border>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35">
    <xf numFmtId="0" fontId="0" fillId="0" borderId="0" xfId="0"/>
    <xf numFmtId="0" fontId="0" fillId="2" borderId="2" xfId="0" applyFill="1" applyBorder="1"/>
    <xf numFmtId="0" fontId="0" fillId="2" borderId="2" xfId="0" applyFill="1" applyBorder="1" applyAlignment="1">
      <alignment vertical="top" wrapText="1"/>
    </xf>
    <xf numFmtId="0" fontId="0" fillId="2" borderId="0" xfId="0" applyFill="1"/>
    <xf numFmtId="0" fontId="0" fillId="2" borderId="0" xfId="0" applyFill="1" applyAlignment="1">
      <alignment vertical="top"/>
    </xf>
    <xf numFmtId="0" fontId="0" fillId="2" borderId="0" xfId="0" applyFill="1" applyAlignment="1">
      <alignment vertical="top" wrapText="1"/>
    </xf>
    <xf numFmtId="0" fontId="0" fillId="2" borderId="4" xfId="0" applyFill="1" applyBorder="1"/>
    <xf numFmtId="0" fontId="0" fillId="2" borderId="1" xfId="0" applyFill="1" applyBorder="1"/>
    <xf numFmtId="0" fontId="1" fillId="2" borderId="2" xfId="0" applyFont="1" applyFill="1" applyBorder="1"/>
    <xf numFmtId="0" fontId="1" fillId="2" borderId="2" xfId="0" applyFont="1" applyFill="1" applyBorder="1" applyAlignment="1">
      <alignment vertical="top"/>
    </xf>
    <xf numFmtId="0" fontId="1" fillId="2" borderId="3" xfId="0" applyFont="1" applyFill="1" applyBorder="1"/>
    <xf numFmtId="0" fontId="3" fillId="3" borderId="2" xfId="0" applyFont="1" applyFill="1" applyBorder="1" applyAlignment="1">
      <alignment horizontal="right" vertical="top" wrapText="1"/>
    </xf>
    <xf numFmtId="0" fontId="0" fillId="3" borderId="2" xfId="0" applyFill="1" applyBorder="1"/>
    <xf numFmtId="0" fontId="0" fillId="0" borderId="0" xfId="0" applyAlignment="1">
      <alignment wrapText="1"/>
    </xf>
    <xf numFmtId="0" fontId="0" fillId="4" borderId="0" xfId="0" applyFill="1"/>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6" fillId="2" borderId="2" xfId="0" applyFont="1" applyFill="1" applyBorder="1" applyAlignment="1">
      <alignment vertical="center" wrapText="1"/>
    </xf>
    <xf numFmtId="0" fontId="2" fillId="2" borderId="2" xfId="0" applyFont="1" applyFill="1" applyBorder="1" applyAlignment="1">
      <alignment horizontal="center" vertical="center"/>
    </xf>
    <xf numFmtId="0" fontId="0" fillId="0" borderId="0" xfId="0" applyAlignment="1">
      <alignment vertical="top" wrapText="1"/>
    </xf>
    <xf numFmtId="0" fontId="8" fillId="0" borderId="0" xfId="0" applyFont="1"/>
    <xf numFmtId="0" fontId="9" fillId="5" borderId="0" xfId="0" applyFont="1" applyFill="1"/>
    <xf numFmtId="0" fontId="0" fillId="0" borderId="0" xfId="0" applyAlignment="1">
      <alignment vertical="top"/>
    </xf>
    <xf numFmtId="0" fontId="1" fillId="0" borderId="0" xfId="0" applyFont="1" applyAlignment="1">
      <alignment vertical="top"/>
    </xf>
    <xf numFmtId="0" fontId="1" fillId="0" borderId="0" xfId="0" applyFont="1" applyAlignment="1">
      <alignment wrapText="1"/>
    </xf>
    <xf numFmtId="0" fontId="1" fillId="6" borderId="0" xfId="0" applyFont="1" applyFill="1"/>
    <xf numFmtId="0" fontId="10" fillId="0" borderId="0" xfId="0" applyFont="1"/>
    <xf numFmtId="0" fontId="11" fillId="0" borderId="0" xfId="0" applyFont="1"/>
    <xf numFmtId="0" fontId="1" fillId="6" borderId="0" xfId="0" applyFont="1" applyFill="1" applyAlignment="1">
      <alignment vertical="center" wrapText="1"/>
    </xf>
    <xf numFmtId="0" fontId="0" fillId="2" borderId="5" xfId="0" applyFill="1" applyBorder="1" applyAlignment="1">
      <alignment horizontal="left" vertical="top" wrapText="1"/>
    </xf>
    <xf numFmtId="0" fontId="0" fillId="2" borderId="7" xfId="0" applyFill="1" applyBorder="1" applyAlignment="1">
      <alignment horizontal="left" vertical="top" wrapText="1"/>
    </xf>
    <xf numFmtId="0" fontId="0" fillId="2" borderId="6" xfId="0" applyFill="1" applyBorder="1" applyAlignment="1">
      <alignment horizontal="left" vertical="top" wrapText="1"/>
    </xf>
    <xf numFmtId="0" fontId="7"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304800</xdr:colOff>
      <xdr:row>1</xdr:row>
      <xdr:rowOff>200025</xdr:rowOff>
    </xdr:from>
    <xdr:to>
      <xdr:col>3</xdr:col>
      <xdr:colOff>285750</xdr:colOff>
      <xdr:row>2</xdr:row>
      <xdr:rowOff>581025</xdr:rowOff>
    </xdr:to>
    <xdr:sp macro="" textlink="">
      <xdr:nvSpPr>
        <xdr:cNvPr id="2" name="TextBox 1">
          <a:extLst>
            <a:ext uri="{FF2B5EF4-FFF2-40B4-BE49-F238E27FC236}">
              <a16:creationId xmlns:a16="http://schemas.microsoft.com/office/drawing/2014/main" id="{B0282705-7E85-4505-8AAE-8DF1C8AD3794}"/>
            </a:ext>
          </a:extLst>
        </xdr:cNvPr>
        <xdr:cNvSpPr txBox="1"/>
      </xdr:nvSpPr>
      <xdr:spPr>
        <a:xfrm>
          <a:off x="304800" y="581025"/>
          <a:ext cx="5314950"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generated</a:t>
          </a:r>
          <a:r>
            <a:rPr lang="en-GB" sz="1100" baseline="0"/>
            <a:t> with following prompt</a:t>
          </a:r>
          <a:br>
            <a:rPr lang="en-GB" sz="1100"/>
          </a:br>
          <a:r>
            <a:rPr lang="en-GB" sz="1100" b="0" i="1">
              <a:solidFill>
                <a:schemeClr val="dk1"/>
              </a:solidFill>
              <a:effectLst/>
              <a:latin typeface="+mn-lt"/>
              <a:ea typeface="+mn-ea"/>
              <a:cs typeface="+mn-cs"/>
            </a:rPr>
            <a:t>From the "Rationale" sheet, create a new sheet "Rationale_clean" copying these columns: Abstract_Index, Document Title, Abstract, RA2025_ID, Evaluator_Score, "Why this score was assigned to the abstract?", "Why does this abstract fall below the next relevance level?". In the two rationale columns, correct spelling typos only — do not rephrase or reword any text. Scan all copied text for corrupted or unsupported characters (mojibake, LaTeX artifacts) and fix them. Add a "Changes Made" column documenting every correction per row, or "No changes" where nothing was altered.</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200025</xdr:colOff>
      <xdr:row>2</xdr:row>
      <xdr:rowOff>19050</xdr:rowOff>
    </xdr:from>
    <xdr:to>
      <xdr:col>12</xdr:col>
      <xdr:colOff>171450</xdr:colOff>
      <xdr:row>9</xdr:row>
      <xdr:rowOff>38100</xdr:rowOff>
    </xdr:to>
    <xdr:sp macro="" textlink="">
      <xdr:nvSpPr>
        <xdr:cNvPr id="3" name="TextBox 2">
          <a:extLst>
            <a:ext uri="{FF2B5EF4-FFF2-40B4-BE49-F238E27FC236}">
              <a16:creationId xmlns:a16="http://schemas.microsoft.com/office/drawing/2014/main" id="{2E54926F-CC57-4837-B56B-7DA81D39B6AD}"/>
            </a:ext>
          </a:extLst>
        </xdr:cNvPr>
        <xdr:cNvSpPr txBox="1"/>
      </xdr:nvSpPr>
      <xdr:spPr>
        <a:xfrm>
          <a:off x="14687550" y="400050"/>
          <a:ext cx="2409825"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Evaluator score</a:t>
          </a:r>
          <a:r>
            <a:rPr lang="en-GB" sz="1100" baseline="0"/>
            <a:t> -&gt; affinity score</a:t>
          </a:r>
          <a:endParaRPr lang="en-GB" sz="1100"/>
        </a:p>
        <a:p>
          <a:r>
            <a:rPr lang="en-GB" sz="1100"/>
            <a:t>0 -&gt; 10</a:t>
          </a:r>
        </a:p>
        <a:p>
          <a:r>
            <a:rPr lang="en-GB" sz="1100"/>
            <a:t>1 -&gt; 30</a:t>
          </a:r>
        </a:p>
        <a:p>
          <a:r>
            <a:rPr lang="en-GB" sz="1100"/>
            <a:t>2 -&gt; 50</a:t>
          </a:r>
        </a:p>
        <a:p>
          <a:r>
            <a:rPr lang="en-GB" sz="1100"/>
            <a:t>3 -&gt; 70</a:t>
          </a:r>
        </a:p>
        <a:p>
          <a:r>
            <a:rPr lang="en-GB" sz="1100"/>
            <a:t>4 -&gt; 90</a:t>
          </a:r>
        </a:p>
        <a:p>
          <a:r>
            <a:rPr lang="en-GB" sz="1100"/>
            <a:t>5 -&gt; 110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200025</xdr:colOff>
      <xdr:row>2</xdr:row>
      <xdr:rowOff>19050</xdr:rowOff>
    </xdr:from>
    <xdr:to>
      <xdr:col>12</xdr:col>
      <xdr:colOff>171450</xdr:colOff>
      <xdr:row>9</xdr:row>
      <xdr:rowOff>38100</xdr:rowOff>
    </xdr:to>
    <xdr:sp macro="" textlink="">
      <xdr:nvSpPr>
        <xdr:cNvPr id="2" name="TextBox 1">
          <a:extLst>
            <a:ext uri="{FF2B5EF4-FFF2-40B4-BE49-F238E27FC236}">
              <a16:creationId xmlns:a16="http://schemas.microsoft.com/office/drawing/2014/main" id="{9DE418A4-15D6-4F02-A456-31FF848F67B7}"/>
            </a:ext>
          </a:extLst>
        </xdr:cNvPr>
        <xdr:cNvSpPr txBox="1"/>
      </xdr:nvSpPr>
      <xdr:spPr>
        <a:xfrm>
          <a:off x="14687550" y="400050"/>
          <a:ext cx="2409825"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Evaluator score</a:t>
          </a:r>
          <a:r>
            <a:rPr lang="en-GB" sz="1100" baseline="0"/>
            <a:t> -&gt; affinity score</a:t>
          </a:r>
          <a:endParaRPr lang="en-GB" sz="1100"/>
        </a:p>
        <a:p>
          <a:r>
            <a:rPr lang="en-GB" sz="1100"/>
            <a:t>0 -&gt; 10</a:t>
          </a:r>
        </a:p>
        <a:p>
          <a:r>
            <a:rPr lang="en-GB" sz="1100"/>
            <a:t>1 -&gt; 30</a:t>
          </a:r>
        </a:p>
        <a:p>
          <a:r>
            <a:rPr lang="en-GB" sz="1100"/>
            <a:t>2 -&gt; 50</a:t>
          </a:r>
        </a:p>
        <a:p>
          <a:r>
            <a:rPr lang="en-GB" sz="1100"/>
            <a:t>3 -&gt; 60</a:t>
          </a:r>
        </a:p>
        <a:p>
          <a:r>
            <a:rPr lang="en-GB" sz="1100"/>
            <a:t>4 -&gt; 80</a:t>
          </a:r>
        </a:p>
        <a:p>
          <a:r>
            <a:rPr lang="en-GB" sz="1100"/>
            <a:t>5 -&gt; 90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 dockstate="right" visibility="0" width="976" row="7">
    <wetp:webextensionref xmlns:r="http://schemas.openxmlformats.org/officeDocument/2006/relationships" r:id="rId2"/>
  </wetp:taskpane>
  <wetp:taskpane dockstate="right" visibility="0" width="350"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21EE19DC-59E2-4630-AA65-B6E06CAE8F4D}">
  <we:reference id="WA104100404" version="3.0.0.1" store="Omex" storeType="OMEX"/>
  <we:alternateReferences>
    <we:reference id="WA104100404" version="3.0.0.1" store="WA104100404" storeType="OMEX"/>
  </we:alternateReferences>
  <we:properties>
    <we:property name="UniqueID" value="&quot;2026419177920848192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52F4422E-F466-42EF-84D8-5C8534EAEAE8}">
  <we:reference id="WA200009404" version="1.0.0.8" store="Omex" storeType="OMEX"/>
  <we:alternateReferences>
    <we:reference id="WA200009404" version="1.0.0.8" store="WA200009404" storeType="OMEX"/>
  </we:alternateReferences>
  <we:properties>
    <we:property name="claude.fileId" value="&quot;6be209e7-e61c-49f7-ba4a-bb1c860cbd1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2B2C65C9-20E8-4C4B-AC95-015177E36534}">
  <we:reference id="WA200010725" version="1.0.0.1" store="Omex" storeType="OMEX"/>
  <we:alternateReferences>
    <we:reference id="WA200010725" version="1.0.0.1" store="WA200010725" storeType="OMEX"/>
  </we:alternateReferences>
  <we:properties>
    <we:property name="claude.fileId" value="&quot;a6fa16dc-b26f-4ce4-a232-e6f8fac8082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E855-1F65-477B-B830-6487C0CDF63B}">
  <sheetPr codeName="Sheet1">
    <tabColor theme="0"/>
  </sheetPr>
  <dimension ref="A1:F26"/>
  <sheetViews>
    <sheetView topLeftCell="B1" workbookViewId="0"/>
  </sheetViews>
  <sheetFormatPr defaultColWidth="9.140625" defaultRowHeight="15" x14ac:dyDescent="0.25"/>
  <cols>
    <col min="1" max="1" width="15.85546875" style="3" bestFit="1" customWidth="1"/>
    <col min="2" max="2" width="118" style="5" bestFit="1" customWidth="1"/>
    <col min="3" max="3" width="10.42578125" style="3" bestFit="1" customWidth="1"/>
    <col min="4" max="4" width="9.140625" style="3" customWidth="1"/>
    <col min="5" max="5" width="14.42578125" style="3" bestFit="1" customWidth="1"/>
    <col min="6" max="6" width="98" style="3" customWidth="1"/>
    <col min="7" max="16384" width="9.140625" style="3"/>
  </cols>
  <sheetData>
    <row r="1" spans="1:6" x14ac:dyDescent="0.25">
      <c r="A1" s="8" t="s">
        <v>0</v>
      </c>
      <c r="B1" s="2">
        <v>1</v>
      </c>
      <c r="C1" s="1"/>
    </row>
    <row r="2" spans="1:6" x14ac:dyDescent="0.25">
      <c r="A2" s="8" t="s">
        <v>1</v>
      </c>
      <c r="B2" s="2" t="s">
        <v>2</v>
      </c>
      <c r="C2" s="1"/>
      <c r="E2" s="4"/>
    </row>
    <row r="3" spans="1:6" ht="141.75" customHeight="1" x14ac:dyDescent="0.25">
      <c r="A3" s="9" t="s">
        <v>3</v>
      </c>
      <c r="B3" s="2" t="s">
        <v>4</v>
      </c>
      <c r="C3" s="1"/>
      <c r="E3" s="5"/>
    </row>
    <row r="4" spans="1:6" ht="15" customHeight="1" x14ac:dyDescent="0.25">
      <c r="A4" s="8" t="s">
        <v>5</v>
      </c>
      <c r="B4" s="11" t="s">
        <v>6</v>
      </c>
      <c r="C4" s="8" t="s">
        <v>7</v>
      </c>
      <c r="D4" s="8" t="s">
        <v>8</v>
      </c>
      <c r="F4" s="29" t="s">
        <v>9</v>
      </c>
    </row>
    <row r="5" spans="1:6" ht="45" customHeight="1" x14ac:dyDescent="0.25">
      <c r="A5" s="10" t="s">
        <v>10</v>
      </c>
      <c r="B5" s="2" t="e" cm="1">
        <f t="array" aca="1" ref="B5" ca="1">INDIRECT(B4)</f>
        <v>#REF!</v>
      </c>
      <c r="C5" s="12"/>
      <c r="D5" s="12"/>
      <c r="F5" s="30"/>
    </row>
    <row r="6" spans="1:6" x14ac:dyDescent="0.25">
      <c r="A6" s="6"/>
      <c r="B6" s="2"/>
      <c r="C6" s="12"/>
      <c r="D6" s="12"/>
      <c r="F6" s="30"/>
    </row>
    <row r="7" spans="1:6" x14ac:dyDescent="0.25">
      <c r="A7" s="6"/>
      <c r="B7" s="2"/>
      <c r="C7" s="12"/>
      <c r="D7" s="12"/>
      <c r="F7" s="30"/>
    </row>
    <row r="8" spans="1:6" x14ac:dyDescent="0.25">
      <c r="A8" s="6"/>
      <c r="B8" s="2"/>
      <c r="C8" s="12"/>
      <c r="D8" s="12"/>
      <c r="F8" s="30"/>
    </row>
    <row r="9" spans="1:6" x14ac:dyDescent="0.25">
      <c r="A9" s="6"/>
      <c r="B9" s="2"/>
      <c r="C9" s="12"/>
      <c r="D9" s="12"/>
      <c r="F9" s="30"/>
    </row>
    <row r="10" spans="1:6" x14ac:dyDescent="0.25">
      <c r="A10" s="6"/>
      <c r="B10" s="2"/>
      <c r="C10" s="12"/>
      <c r="D10" s="12"/>
      <c r="F10" s="30"/>
    </row>
    <row r="11" spans="1:6" x14ac:dyDescent="0.25">
      <c r="A11" s="6"/>
      <c r="B11" s="2"/>
      <c r="C11" s="12"/>
      <c r="D11" s="12"/>
      <c r="F11" s="30"/>
    </row>
    <row r="12" spans="1:6" x14ac:dyDescent="0.25">
      <c r="A12" s="6"/>
      <c r="B12" s="2"/>
      <c r="C12" s="12"/>
      <c r="D12" s="12"/>
      <c r="F12" s="30"/>
    </row>
    <row r="13" spans="1:6" x14ac:dyDescent="0.25">
      <c r="A13" s="6"/>
      <c r="B13" s="2"/>
      <c r="C13" s="12"/>
      <c r="D13" s="12"/>
      <c r="F13" s="30"/>
    </row>
    <row r="14" spans="1:6" x14ac:dyDescent="0.25">
      <c r="A14" s="6"/>
      <c r="B14" s="2"/>
      <c r="C14" s="12"/>
      <c r="D14" s="12"/>
      <c r="F14" s="30"/>
    </row>
    <row r="15" spans="1:6" x14ac:dyDescent="0.25">
      <c r="A15" s="6"/>
      <c r="B15" s="2"/>
      <c r="C15" s="12"/>
      <c r="D15" s="12"/>
      <c r="F15" s="30"/>
    </row>
    <row r="16" spans="1:6" x14ac:dyDescent="0.25">
      <c r="A16" s="6"/>
      <c r="B16" s="2"/>
      <c r="C16" s="12"/>
      <c r="D16" s="12"/>
      <c r="F16" s="30"/>
    </row>
    <row r="17" spans="1:6" x14ac:dyDescent="0.25">
      <c r="A17" s="6"/>
      <c r="B17" s="2"/>
      <c r="C17" s="12"/>
      <c r="D17" s="12"/>
      <c r="F17" s="30"/>
    </row>
    <row r="18" spans="1:6" ht="30" customHeight="1" x14ac:dyDescent="0.25">
      <c r="A18" s="6"/>
      <c r="B18" s="2"/>
      <c r="C18" s="12"/>
      <c r="D18" s="12"/>
      <c r="F18" s="30"/>
    </row>
    <row r="19" spans="1:6" x14ac:dyDescent="0.25">
      <c r="A19" s="6"/>
      <c r="B19" s="2"/>
      <c r="C19" s="12"/>
      <c r="D19" s="12"/>
      <c r="F19" s="30"/>
    </row>
    <row r="20" spans="1:6" ht="45" customHeight="1" x14ac:dyDescent="0.25">
      <c r="A20" s="6"/>
      <c r="B20" s="2"/>
      <c r="C20" s="12"/>
      <c r="D20" s="12"/>
      <c r="F20" s="30"/>
    </row>
    <row r="21" spans="1:6" ht="30" customHeight="1" x14ac:dyDescent="0.25">
      <c r="A21" s="6"/>
      <c r="B21" s="2"/>
      <c r="C21" s="12"/>
      <c r="D21" s="12"/>
      <c r="F21" s="30"/>
    </row>
    <row r="22" spans="1:6" ht="30" customHeight="1" x14ac:dyDescent="0.25">
      <c r="A22" s="6"/>
      <c r="B22" s="2"/>
      <c r="C22" s="12"/>
      <c r="D22" s="12"/>
      <c r="F22" s="30"/>
    </row>
    <row r="23" spans="1:6" ht="30" customHeight="1" x14ac:dyDescent="0.25">
      <c r="A23" s="6"/>
      <c r="B23" s="2"/>
      <c r="C23" s="12"/>
      <c r="D23" s="12"/>
      <c r="F23" s="30"/>
    </row>
    <row r="24" spans="1:6" ht="45" customHeight="1" x14ac:dyDescent="0.25">
      <c r="A24" s="6"/>
      <c r="B24" s="2"/>
      <c r="C24" s="12"/>
      <c r="D24" s="12"/>
      <c r="F24" s="30"/>
    </row>
    <row r="25" spans="1:6" ht="30" customHeight="1" x14ac:dyDescent="0.25">
      <c r="A25" s="6"/>
      <c r="B25" s="2"/>
      <c r="C25" s="12"/>
      <c r="D25" s="12"/>
      <c r="F25" s="30"/>
    </row>
    <row r="26" spans="1:6" x14ac:dyDescent="0.25">
      <c r="A26" s="7"/>
      <c r="B26" s="2"/>
      <c r="C26" s="12"/>
      <c r="D26" s="12"/>
      <c r="F26" s="31"/>
    </row>
  </sheetData>
  <mergeCells count="1">
    <mergeCell ref="F4:F26"/>
  </mergeCells>
  <dataValidations count="1">
    <dataValidation type="whole" allowBlank="1" showInputMessage="1" showErrorMessage="1" sqref="C5:C26" xr:uid="{CA69F0AA-F313-4DA9-8275-73757BDD931D}">
      <formula1>0</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C7BCADB-7A73-4857-9A52-1ED527B93351}">
          <x14:formula1>
            <xm:f>'Question Detail'!$I$2:$I$9</xm:f>
          </x14:formula1>
          <xm:sqref>B4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5627-8459-4206-A3A0-16FD57478527}">
  <sheetPr>
    <tabColor rgb="FF00B050"/>
  </sheetPr>
  <dimension ref="A1:F566"/>
  <sheetViews>
    <sheetView topLeftCell="A54" workbookViewId="0">
      <selection activeCell="B543" sqref="B543"/>
    </sheetView>
  </sheetViews>
  <sheetFormatPr defaultRowHeight="15" x14ac:dyDescent="0.25"/>
  <cols>
    <col min="1" max="1" width="15.85546875" customWidth="1"/>
    <col min="2" max="2" width="118" customWidth="1"/>
    <col min="3" max="3" width="10.42578125" customWidth="1"/>
    <col min="5" max="5" width="14.42578125" customWidth="1"/>
    <col min="6" max="6" width="125.5703125" customWidth="1"/>
  </cols>
  <sheetData>
    <row r="1" spans="1:6" ht="15" customHeight="1" x14ac:dyDescent="0.25">
      <c r="A1" s="8" t="s">
        <v>0</v>
      </c>
      <c r="B1" s="2">
        <f>'Abstracts List'!A2</f>
        <v>1</v>
      </c>
      <c r="C1" s="1"/>
      <c r="D1" s="3"/>
      <c r="E1" s="3"/>
      <c r="F1" s="3"/>
    </row>
    <row r="2" spans="1:6" ht="15" customHeight="1" x14ac:dyDescent="0.25">
      <c r="A2" s="8" t="s">
        <v>1</v>
      </c>
      <c r="B2" s="2" t="str">
        <f>'Abstracts List'!B2</f>
        <v>Scenario Reduction Network Based on Wasserstein Distance With Regularization</v>
      </c>
      <c r="C2" s="1"/>
      <c r="D2" s="3"/>
      <c r="E2" s="4"/>
      <c r="F2" s="3"/>
    </row>
    <row r="3" spans="1:6" ht="141.75" customHeight="1" x14ac:dyDescent="0.25">
      <c r="A3" s="9" t="s">
        <v>3</v>
      </c>
      <c r="B3" s="2" t="str">
        <f>'Abstracts List'!C2</f>
        <v>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v>
      </c>
      <c r="C3" s="1"/>
      <c r="D3" s="3"/>
      <c r="E3" s="5"/>
      <c r="F3" s="3"/>
    </row>
    <row r="4" spans="1:6" ht="15" customHeight="1" x14ac:dyDescent="0.25">
      <c r="A4" s="8" t="s">
        <v>5</v>
      </c>
      <c r="B4" s="11" t="s">
        <v>11</v>
      </c>
      <c r="C4" s="8" t="s">
        <v>7</v>
      </c>
      <c r="D4" s="8" t="s">
        <v>8</v>
      </c>
      <c r="E4" s="3"/>
      <c r="F4" s="29" t="s">
        <v>9</v>
      </c>
    </row>
    <row r="5" spans="1:6" ht="45" customHeight="1" x14ac:dyDescent="0.25">
      <c r="A5" s="10" t="s">
        <v>10</v>
      </c>
      <c r="B5" s="2" t="str" cm="1">
        <f t="array" aca="1" ref="B5:B25" ca="1">INDIRECT(B4)</f>
        <v>12 - What mechanisms and appropriate aggregate DER representations and data are necessary to account for DERs in system-wide operation and planning, and in techno economic evaluation?</v>
      </c>
      <c r="C5" s="12"/>
      <c r="D5" s="12"/>
      <c r="E5" s="3"/>
      <c r="F5" s="30"/>
    </row>
    <row r="6" spans="1:6" ht="15" customHeight="1" x14ac:dyDescent="0.25">
      <c r="A6" s="6"/>
      <c r="B6" s="2" t="str">
        <f ca="1"/>
        <v>13 - How can system operators quantify the bulk-level energy and service opportunities from DER, and how can these services be shared among distribution operators, bulk operators, aggregators and (where applicable) customers?</v>
      </c>
      <c r="C6" s="12"/>
      <c r="D6" s="12"/>
      <c r="E6" s="3"/>
      <c r="F6" s="30"/>
    </row>
    <row r="7" spans="1:6" ht="15" customHeight="1" x14ac:dyDescent="0.25">
      <c r="A7" s="6"/>
      <c r="B7" s="2" t="str">
        <f ca="1"/>
        <v>14 - How can bulk-level services provided by DER be valued as a compromise between simplicity and, for example, a complex full cost-reflective approach?</v>
      </c>
      <c r="C7" s="12"/>
      <c r="D7" s="12"/>
      <c r="E7" s="3"/>
      <c r="F7" s="30"/>
    </row>
    <row r="8" spans="1:6" ht="15" customHeight="1" x14ac:dyDescent="0.25">
      <c r="A8" s="6"/>
      <c r="B8" s="2" t="str">
        <f ca="1"/>
        <v>27 - How can risk-based methods (e.g. probabilistic forecasting techniques) be better incorporated into operational decision-support tools and used consistently across multiple stages (e.g., real-time, day ahead, intraday planning)?</v>
      </c>
      <c r="C8" s="12"/>
      <c r="D8" s="12"/>
      <c r="E8" s="3"/>
      <c r="F8" s="30"/>
    </row>
    <row r="9" spans="1:6" ht="15" customHeight="1" x14ac:dyDescent="0.25">
      <c r="A9" s="6"/>
      <c r="B9" s="2" t="str">
        <f ca="1"/>
        <v>32 - How should system restoration services be structured and organized in systems with few or no synchronous machines, relying on IBR technologies and variable energy resources? </v>
      </c>
      <c r="C9" s="12"/>
      <c r="D9" s="12"/>
      <c r="E9" s="3"/>
      <c r="F9" s="30"/>
    </row>
    <row r="10" spans="1:6" ht="15" customHeight="1" x14ac:dyDescent="0.25">
      <c r="A10" s="6"/>
      <c r="B10" s="2" t="str">
        <f ca="1"/>
        <v>33 - 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C10" s="12"/>
      <c r="D10" s="12"/>
      <c r="E10" s="3"/>
      <c r="F10" s="30"/>
    </row>
    <row r="11" spans="1:6" ht="15" customHeight="1" x14ac:dyDescent="0.25">
      <c r="A11" s="6"/>
      <c r="B11" s="2" t="str">
        <f ca="1"/>
        <v>34 - What methods could determine the need, sufficiency, and locational nature of IBR voltage control and system strength services for a given area? </v>
      </c>
      <c r="C11" s="12"/>
      <c r="D11" s="12"/>
      <c r="E11" s="3"/>
      <c r="F11" s="30"/>
    </row>
    <row r="12" spans="1:6" ht="15" customHeight="1" x14ac:dyDescent="0.25">
      <c r="A12" s="6"/>
      <c r="B12" s="2" t="str">
        <f ca="1"/>
        <v>35 - 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C12" s="12"/>
      <c r="D12" s="12"/>
      <c r="E12" s="3"/>
      <c r="F12" s="30"/>
    </row>
    <row r="13" spans="1:6" ht="15" customHeight="1" x14ac:dyDescent="0.25">
      <c r="A13" s="6"/>
      <c r="B13" s="2" t="str">
        <f ca="1"/>
        <v>36 - What system services can be designed to enable response from IBRs that can be a substitute for inertia (i.e. very fast frequency response)?  </v>
      </c>
      <c r="C13" s="12"/>
      <c r="D13" s="12"/>
      <c r="E13" s="3"/>
      <c r="F13" s="30"/>
    </row>
    <row r="14" spans="1:6" ht="15" customHeight="1" x14ac:dyDescent="0.25">
      <c r="A14" s="6"/>
      <c r="B14" s="2" t="str">
        <f ca="1"/>
        <v>37 - What studies and metrics are required to identify long-term scarcity of resources (capacity, energy, flexibility etc.) to maintain reliability?   </v>
      </c>
      <c r="C14" s="12"/>
      <c r="D14" s="12"/>
      <c r="E14" s="3"/>
      <c r="F14" s="30"/>
    </row>
    <row r="15" spans="1:6" ht="15" customHeight="1" x14ac:dyDescent="0.25">
      <c r="A15" s="6"/>
      <c r="B15" s="2" t="str">
        <f ca="1"/>
        <v>38 - How should grid enhancing technologies be included in the planning processes? </v>
      </c>
      <c r="C15" s="12"/>
      <c r="D15" s="12"/>
      <c r="E15" s="3"/>
      <c r="F15" s="30"/>
    </row>
    <row r="16" spans="1:6" ht="15" customHeight="1" x14ac:dyDescent="0.25">
      <c r="A16" s="6"/>
      <c r="B16" s="2" t="str">
        <f ca="1"/>
        <v>39 - 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C16" s="12"/>
      <c r="D16" s="12"/>
      <c r="E16" s="3"/>
      <c r="F16" s="30"/>
    </row>
    <row r="17" spans="1:6" ht="15" customHeight="1" x14ac:dyDescent="0.25">
      <c r="A17" s="6"/>
      <c r="B17" s="2" t="str">
        <f ca="1"/>
        <v>40 - What studies and metrics are required to evaluate resource adequacy with hybrid plants (e.g., photovoltaics-plus-storage) and virtual power plants? </v>
      </c>
      <c r="C17" s="12"/>
      <c r="D17" s="12"/>
      <c r="E17" s="3"/>
      <c r="F17" s="30"/>
    </row>
    <row r="18" spans="1:6" ht="30" customHeight="1" x14ac:dyDescent="0.25">
      <c r="A18" s="6"/>
      <c r="B18" s="2" t="str">
        <f ca="1"/>
        <v>41 - What additional probabilistic planning methods and tools are necessary for planning a power system with a high share of IBRs and in particular, variable renewable energy resources? </v>
      </c>
      <c r="C18" s="12"/>
      <c r="D18" s="12"/>
      <c r="E18" s="3"/>
      <c r="F18" s="30"/>
    </row>
    <row r="19" spans="1:6" ht="15" customHeight="1" x14ac:dyDescent="0.25">
      <c r="A19" s="6"/>
      <c r="B19" s="2" t="str">
        <f ca="1"/>
        <v>42 - What additional planning models and methods are needed to plan for various levels of uncertainty and no-regrets investments in a paradigm of increasing electrification and growing IBR and DER penetrations? </v>
      </c>
      <c r="C19" s="12"/>
      <c r="D19" s="12"/>
      <c r="E19" s="3"/>
      <c r="F19" s="30"/>
    </row>
    <row r="20" spans="1:6" ht="45" customHeight="1" x14ac:dyDescent="0.25">
      <c r="A20" s="6"/>
      <c r="B20" s="2" t="str">
        <f ca="1"/>
        <v>43 - What changes can be incorporated into the transmission planning process, especially inter-regional planning, to unlock multi-value system benefits and accommodate new drivers of uncertainty (e.g., large growth due to electrification or low growth due to increased use of DERs)? </v>
      </c>
      <c r="C20" s="12"/>
      <c r="D20" s="12"/>
      <c r="E20" s="3"/>
      <c r="F20" s="30"/>
    </row>
    <row r="21" spans="1:6" ht="30" customHeight="1" x14ac:dyDescent="0.25">
      <c r="A21" s="6"/>
      <c r="B21" s="2" t="str">
        <f ca="1"/>
        <v>44 - What methods, processes, and products (e.g. services) can support effective valuation, integration, and procurement of long-duration energy storage? </v>
      </c>
      <c r="C21" s="12"/>
      <c r="D21" s="12"/>
      <c r="E21" s="3"/>
      <c r="F21" s="30"/>
    </row>
    <row r="22" spans="1:6" ht="30" customHeight="1" x14ac:dyDescent="0.25">
      <c r="A22" s="6"/>
      <c r="B22" s="2" t="str">
        <f ca="1"/>
        <v>45 - What additional load and resource forecasting models are necessary to account for electrification, including large loads (e.g., data centers), coupling of the transportation and building sectors, and demand-side flexibility? </v>
      </c>
      <c r="C22" s="12"/>
      <c r="D22" s="12"/>
      <c r="E22" s="3"/>
      <c r="F22" s="30"/>
    </row>
    <row r="23" spans="1:6" ht="30" customHeight="1" x14ac:dyDescent="0.25">
      <c r="A23" s="6"/>
      <c r="B23" s="2" t="str">
        <f ca="1"/>
        <v>46 - What additional methods, tools, and metrics are necessary to incorporate resilience concepts and the ability to recover and adapt to adverse conditions, considering uncertain future states into planning a power system with a high share of renewables? </v>
      </c>
      <c r="C23" s="12"/>
      <c r="D23" s="12"/>
      <c r="E23" s="3"/>
      <c r="F23" s="30"/>
    </row>
    <row r="24" spans="1:6" ht="45" customHeight="1" x14ac:dyDescent="0.25">
      <c r="A24" s="6"/>
      <c r="B24" s="2" t="str">
        <f ca="1"/>
        <v>47 - How do system operators adequately account for the overall system impact of extreme events in planning studies, particularly those that impact the system with a high share of flexible resources in both supply and demand (wind, solar, demand-side flexibility)? </v>
      </c>
      <c r="C24" s="12"/>
      <c r="D24" s="12"/>
      <c r="E24" s="3"/>
      <c r="F24" s="30"/>
    </row>
    <row r="25" spans="1:6" ht="30" customHeight="1" x14ac:dyDescent="0.25">
      <c r="A25" s="6"/>
      <c r="B25" s="2" t="str">
        <f ca="1"/>
        <v>48 - What additional planning models and methods are needed to plan for a system that can withstand expected or unexpected lulls (e.g., an extended wind drought, or a dunkelflaute)?  </v>
      </c>
      <c r="C25" s="12"/>
      <c r="D25" s="12"/>
      <c r="E25" s="3"/>
      <c r="F25" s="30"/>
    </row>
    <row r="26" spans="1:6" ht="15" customHeight="1" x14ac:dyDescent="0.25">
      <c r="A26" s="7"/>
      <c r="B26" s="2"/>
      <c r="C26" s="12"/>
      <c r="D26" s="12"/>
      <c r="E26" s="3"/>
      <c r="F26" s="31"/>
    </row>
    <row r="28" spans="1:6" ht="15" customHeight="1" x14ac:dyDescent="0.25">
      <c r="A28" s="8" t="s">
        <v>0</v>
      </c>
      <c r="B28" s="2">
        <f>'Abstracts List'!A3</f>
        <v>103</v>
      </c>
      <c r="C28" s="1"/>
      <c r="D28" s="3"/>
      <c r="E28" s="3"/>
      <c r="F28" s="3"/>
    </row>
    <row r="29" spans="1:6" ht="15" customHeight="1" x14ac:dyDescent="0.25">
      <c r="A29" s="8" t="s">
        <v>1</v>
      </c>
      <c r="B29" s="2" t="str">
        <f>'Abstracts List'!B3</f>
        <v>Characteristic Investigation and Overvoltage Suppression of MMC-HVDC Integrated Offshore Wind Farms Under Onshore Valve-Side SPG Fault</v>
      </c>
      <c r="C29" s="1"/>
      <c r="D29" s="3"/>
      <c r="E29" s="4"/>
      <c r="F29" s="3"/>
    </row>
    <row r="30" spans="1:6" ht="174.75" customHeight="1" x14ac:dyDescent="0.25">
      <c r="A30" s="9" t="s">
        <v>3</v>
      </c>
      <c r="B30" s="2" t="str">
        <f>'Abstracts List'!C3</f>
        <v>The valve-side ground fault in the converter station of modular multilevel converter based high voltage direct current (MMC-HVDC) is a serious threat to the security of power systems. Hence, this paper analyzes the most common single-phase-to-ground (SPG) fault characteristics of valve-side faults in onshore converter stations of MMC-HVDC integrated offshore wind farms. The propagation and impact mechanism of onshore SPG fault to offshore HVDC transmission lines, offshore converter station, and wind farms are deduced based on the MMC control principle. Furthermore, an overvoltage suppression strategy based on zero-sequence voltage modulation is proposed. The effect mechanism of this strategy on the transient stability of the system is analyzed. The key parameter of the proposed strategy is also designed considering both the practical engineering requirements and the impact of the system operation. Finally, the theoretical analysis of fault characteristics and the proposed overvoltage suppression strategy are verified by the PSCAD/EMTDC simulation platform. Simulation results not only show good agreement with the theoretical analysis of the fault characteristics, but also prove the effectiveness of the proposed overvoltage suppression strategy.</v>
      </c>
      <c r="C30" s="1"/>
      <c r="D30" s="3"/>
      <c r="E30" s="5"/>
      <c r="F30" s="3"/>
    </row>
    <row r="31" spans="1:6" ht="15" customHeight="1" x14ac:dyDescent="0.25">
      <c r="A31" s="8" t="s">
        <v>5</v>
      </c>
      <c r="B31" s="11" t="s">
        <v>6</v>
      </c>
      <c r="C31" s="8" t="s">
        <v>7</v>
      </c>
      <c r="D31" s="8" t="s">
        <v>8</v>
      </c>
      <c r="E31" s="3"/>
      <c r="F31" s="29" t="s">
        <v>9</v>
      </c>
    </row>
    <row r="32" spans="1:6" ht="45" customHeight="1" x14ac:dyDescent="0.25">
      <c r="A32" s="10" t="s">
        <v>10</v>
      </c>
      <c r="B32" s="2" t="e" cm="1">
        <f t="array" aca="1" ref="B32" ca="1">INDIRECT(B31)</f>
        <v>#REF!</v>
      </c>
      <c r="C32" s="12"/>
      <c r="D32" s="12"/>
      <c r="E32" s="3"/>
      <c r="F32" s="30"/>
    </row>
    <row r="33" spans="1:6" ht="15" customHeight="1" x14ac:dyDescent="0.25">
      <c r="A33" s="6"/>
      <c r="B33" s="2"/>
      <c r="C33" s="12"/>
      <c r="D33" s="12"/>
      <c r="E33" s="3"/>
      <c r="F33" s="30"/>
    </row>
    <row r="34" spans="1:6" ht="15" customHeight="1" x14ac:dyDescent="0.25">
      <c r="A34" s="6"/>
      <c r="B34" s="2"/>
      <c r="C34" s="12"/>
      <c r="D34" s="12"/>
      <c r="E34" s="3"/>
      <c r="F34" s="30"/>
    </row>
    <row r="35" spans="1:6" ht="15" customHeight="1" x14ac:dyDescent="0.25">
      <c r="A35" s="6"/>
      <c r="B35" s="2"/>
      <c r="C35" s="12"/>
      <c r="D35" s="12"/>
      <c r="E35" s="3"/>
      <c r="F35" s="30"/>
    </row>
    <row r="36" spans="1:6" ht="15" customHeight="1" x14ac:dyDescent="0.25">
      <c r="A36" s="6"/>
      <c r="B36" s="2"/>
      <c r="C36" s="12"/>
      <c r="D36" s="12"/>
      <c r="E36" s="3"/>
      <c r="F36" s="30"/>
    </row>
    <row r="37" spans="1:6" ht="15" customHeight="1" x14ac:dyDescent="0.25">
      <c r="A37" s="6"/>
      <c r="B37" s="2"/>
      <c r="C37" s="12"/>
      <c r="D37" s="12"/>
      <c r="E37" s="3"/>
      <c r="F37" s="30"/>
    </row>
    <row r="38" spans="1:6" ht="15" customHeight="1" x14ac:dyDescent="0.25">
      <c r="A38" s="6"/>
      <c r="B38" s="2"/>
      <c r="C38" s="12"/>
      <c r="D38" s="12"/>
      <c r="E38" s="3"/>
      <c r="F38" s="30"/>
    </row>
    <row r="39" spans="1:6" ht="15" customHeight="1" x14ac:dyDescent="0.25">
      <c r="A39" s="6"/>
      <c r="B39" s="2"/>
      <c r="C39" s="12"/>
      <c r="D39" s="12"/>
      <c r="E39" s="3"/>
      <c r="F39" s="30"/>
    </row>
    <row r="40" spans="1:6" ht="15" customHeight="1" x14ac:dyDescent="0.25">
      <c r="A40" s="6"/>
      <c r="B40" s="2"/>
      <c r="C40" s="12"/>
      <c r="D40" s="12"/>
      <c r="E40" s="3"/>
      <c r="F40" s="30"/>
    </row>
    <row r="41" spans="1:6" ht="15" customHeight="1" x14ac:dyDescent="0.25">
      <c r="A41" s="6"/>
      <c r="B41" s="2"/>
      <c r="C41" s="12"/>
      <c r="D41" s="12"/>
      <c r="E41" s="3"/>
      <c r="F41" s="30"/>
    </row>
    <row r="42" spans="1:6" ht="15" customHeight="1" x14ac:dyDescent="0.25">
      <c r="A42" s="6"/>
      <c r="B42" s="2"/>
      <c r="C42" s="12"/>
      <c r="D42" s="12"/>
      <c r="E42" s="3"/>
      <c r="F42" s="30"/>
    </row>
    <row r="43" spans="1:6" ht="15" customHeight="1" x14ac:dyDescent="0.25">
      <c r="A43" s="6"/>
      <c r="B43" s="2"/>
      <c r="C43" s="12"/>
      <c r="D43" s="12"/>
      <c r="E43" s="3"/>
      <c r="F43" s="30"/>
    </row>
    <row r="44" spans="1:6" ht="15" customHeight="1" x14ac:dyDescent="0.25">
      <c r="A44" s="6"/>
      <c r="B44" s="2"/>
      <c r="C44" s="12"/>
      <c r="D44" s="12"/>
      <c r="E44" s="3"/>
      <c r="F44" s="30"/>
    </row>
    <row r="45" spans="1:6" ht="30" customHeight="1" x14ac:dyDescent="0.25">
      <c r="A45" s="6"/>
      <c r="B45" s="2"/>
      <c r="C45" s="12"/>
      <c r="D45" s="12"/>
      <c r="E45" s="3"/>
      <c r="F45" s="30"/>
    </row>
    <row r="46" spans="1:6" ht="15" customHeight="1" x14ac:dyDescent="0.25">
      <c r="A46" s="6"/>
      <c r="B46" s="2"/>
      <c r="C46" s="12"/>
      <c r="D46" s="12"/>
      <c r="E46" s="3"/>
      <c r="F46" s="30"/>
    </row>
    <row r="47" spans="1:6" ht="45" customHeight="1" x14ac:dyDescent="0.25">
      <c r="A47" s="6"/>
      <c r="B47" s="2"/>
      <c r="C47" s="12"/>
      <c r="D47" s="12"/>
      <c r="E47" s="3"/>
      <c r="F47" s="30"/>
    </row>
    <row r="48" spans="1:6" ht="30" customHeight="1" x14ac:dyDescent="0.25">
      <c r="A48" s="6"/>
      <c r="B48" s="2"/>
      <c r="C48" s="12"/>
      <c r="D48" s="12"/>
      <c r="E48" s="3"/>
      <c r="F48" s="30"/>
    </row>
    <row r="49" spans="1:6" ht="30" customHeight="1" x14ac:dyDescent="0.25">
      <c r="A49" s="6"/>
      <c r="B49" s="2"/>
      <c r="C49" s="12"/>
      <c r="D49" s="12"/>
      <c r="E49" s="3"/>
      <c r="F49" s="30"/>
    </row>
    <row r="50" spans="1:6" ht="30" customHeight="1" x14ac:dyDescent="0.25">
      <c r="A50" s="6"/>
      <c r="B50" s="2"/>
      <c r="C50" s="12"/>
      <c r="D50" s="12"/>
      <c r="E50" s="3"/>
      <c r="F50" s="30"/>
    </row>
    <row r="51" spans="1:6" ht="45" customHeight="1" x14ac:dyDescent="0.25">
      <c r="A51" s="6"/>
      <c r="B51" s="2"/>
      <c r="C51" s="12"/>
      <c r="D51" s="12"/>
      <c r="E51" s="3"/>
      <c r="F51" s="30"/>
    </row>
    <row r="52" spans="1:6" ht="30" customHeight="1" x14ac:dyDescent="0.25">
      <c r="A52" s="6"/>
      <c r="B52" s="2"/>
      <c r="C52" s="12"/>
      <c r="D52" s="12"/>
      <c r="E52" s="3"/>
      <c r="F52" s="30"/>
    </row>
    <row r="53" spans="1:6" ht="15" customHeight="1" x14ac:dyDescent="0.25">
      <c r="A53" s="7"/>
      <c r="B53" s="2"/>
      <c r="C53" s="12"/>
      <c r="D53" s="12"/>
      <c r="E53" s="3"/>
      <c r="F53" s="31"/>
    </row>
    <row r="55" spans="1:6" ht="15" customHeight="1" x14ac:dyDescent="0.25">
      <c r="A55" s="8" t="s">
        <v>0</v>
      </c>
      <c r="B55" s="2">
        <f>'Abstracts List'!A4</f>
        <v>115</v>
      </c>
      <c r="C55" s="1"/>
      <c r="D55" s="3"/>
      <c r="E55" s="3"/>
      <c r="F55" s="3"/>
    </row>
    <row r="56" spans="1:6" ht="15" customHeight="1" x14ac:dyDescent="0.25">
      <c r="A56" s="8" t="s">
        <v>1</v>
      </c>
      <c r="B56" s="2" t="str">
        <f>'Abstracts List'!B4</f>
        <v>Adaptive Stability Contingency Screening for Operational Planning Based on Domain-Adversarial Graph Neural Network</v>
      </c>
      <c r="C56" s="1"/>
      <c r="D56" s="3"/>
      <c r="E56" s="4"/>
      <c r="F56" s="3"/>
    </row>
    <row r="57" spans="1:6" ht="189.75" customHeight="1" x14ac:dyDescent="0.25">
      <c r="A57" s="9" t="s">
        <v>3</v>
      </c>
      <c r="B57" s="2" t="str">
        <f>'Abstracts List'!C4</f>
        <v>Compared to contingency screening (CS) techniques that focus on thermal/voltage limit violation, CS that addresses the transient and small-signal stability contingencies in the existing references requires a higher computational cost, limiting its use to off-line contingency analysis. Therefore, it poses the challenge of developing an effective CS scheme for fast recognition of critical contingency, which is one of the major concerns of system operators. To deal with this problem, this article proposes an adaptive stability CS (SCS) scheme for operational planning. One challenge in developing the adaptive SCS for different cardinal points is data distribution discrepancy resulted from load/topology changes. To align data distribution between different domains (i.e., cardinal points), a domain-adversarial graph neural network (DAGNN) is developed to learn the domain-invariant features, so that the DAGNN model trained on the labeled source domain (e.g., peak cardinal point 2B) data can be applied to the unlabeled target domain (e.g., trough cardinal point 1B) data for SCS. To make the proposed SCS more efficient in dealing with power system data, a graph learning approach combined with graph transformer and graph isomorphism network is used in DAGNN to provide feature representations considering the graph properties of power systems, where nodes and edges refer to buses and transmission lines, respectively. Experiments on IEEE 39 Bus system and IEEE 118 Bus system have verified the effectiveness of the proposed model.</v>
      </c>
      <c r="C57" s="1"/>
      <c r="D57" s="3"/>
      <c r="E57" s="5"/>
      <c r="F57" s="3"/>
    </row>
    <row r="58" spans="1:6" ht="15" customHeight="1" x14ac:dyDescent="0.25">
      <c r="A58" s="8" t="s">
        <v>5</v>
      </c>
      <c r="B58" s="11" t="s">
        <v>6</v>
      </c>
      <c r="C58" s="8" t="s">
        <v>7</v>
      </c>
      <c r="D58" s="8" t="s">
        <v>8</v>
      </c>
      <c r="E58" s="3"/>
      <c r="F58" s="29" t="s">
        <v>9</v>
      </c>
    </row>
    <row r="59" spans="1:6" ht="45" customHeight="1" x14ac:dyDescent="0.25">
      <c r="A59" s="10" t="s">
        <v>10</v>
      </c>
      <c r="B59" s="2" t="e" cm="1">
        <f t="array" aca="1" ref="B59" ca="1">INDIRECT(B58)</f>
        <v>#REF!</v>
      </c>
      <c r="C59" s="12"/>
      <c r="D59" s="12"/>
      <c r="E59" s="3"/>
      <c r="F59" s="30"/>
    </row>
    <row r="60" spans="1:6" ht="15" customHeight="1" x14ac:dyDescent="0.25">
      <c r="A60" s="6"/>
      <c r="B60" s="2"/>
      <c r="C60" s="12"/>
      <c r="D60" s="12"/>
      <c r="E60" s="3"/>
      <c r="F60" s="30"/>
    </row>
    <row r="61" spans="1:6" ht="15" customHeight="1" x14ac:dyDescent="0.25">
      <c r="A61" s="6"/>
      <c r="B61" s="2"/>
      <c r="C61" s="12"/>
      <c r="D61" s="12"/>
      <c r="E61" s="3"/>
      <c r="F61" s="30"/>
    </row>
    <row r="62" spans="1:6" ht="15" customHeight="1" x14ac:dyDescent="0.25">
      <c r="A62" s="6"/>
      <c r="B62" s="2"/>
      <c r="C62" s="12"/>
      <c r="D62" s="12"/>
      <c r="E62" s="3"/>
      <c r="F62" s="30"/>
    </row>
    <row r="63" spans="1:6" ht="15" customHeight="1" x14ac:dyDescent="0.25">
      <c r="A63" s="6"/>
      <c r="B63" s="2"/>
      <c r="C63" s="12"/>
      <c r="D63" s="12"/>
      <c r="E63" s="3"/>
      <c r="F63" s="30"/>
    </row>
    <row r="64" spans="1:6" ht="15" customHeight="1" x14ac:dyDescent="0.25">
      <c r="A64" s="6"/>
      <c r="B64" s="2"/>
      <c r="C64" s="12"/>
      <c r="D64" s="12"/>
      <c r="E64" s="3"/>
      <c r="F64" s="30"/>
    </row>
    <row r="65" spans="1:6" ht="15" customHeight="1" x14ac:dyDescent="0.25">
      <c r="A65" s="6"/>
      <c r="B65" s="2"/>
      <c r="C65" s="12"/>
      <c r="D65" s="12"/>
      <c r="E65" s="3"/>
      <c r="F65" s="30"/>
    </row>
    <row r="66" spans="1:6" ht="15" customHeight="1" x14ac:dyDescent="0.25">
      <c r="A66" s="6"/>
      <c r="B66" s="2"/>
      <c r="C66" s="12"/>
      <c r="D66" s="12"/>
      <c r="E66" s="3"/>
      <c r="F66" s="30"/>
    </row>
    <row r="67" spans="1:6" ht="15" customHeight="1" x14ac:dyDescent="0.25">
      <c r="A67" s="6"/>
      <c r="B67" s="2"/>
      <c r="C67" s="12"/>
      <c r="D67" s="12"/>
      <c r="E67" s="3"/>
      <c r="F67" s="30"/>
    </row>
    <row r="68" spans="1:6" ht="15" customHeight="1" x14ac:dyDescent="0.25">
      <c r="A68" s="6"/>
      <c r="B68" s="2"/>
      <c r="C68" s="12"/>
      <c r="D68" s="12"/>
      <c r="E68" s="3"/>
      <c r="F68" s="30"/>
    </row>
    <row r="69" spans="1:6" ht="15" customHeight="1" x14ac:dyDescent="0.25">
      <c r="A69" s="6"/>
      <c r="B69" s="2"/>
      <c r="C69" s="12"/>
      <c r="D69" s="12"/>
      <c r="E69" s="3"/>
      <c r="F69" s="30"/>
    </row>
    <row r="70" spans="1:6" ht="15" customHeight="1" x14ac:dyDescent="0.25">
      <c r="A70" s="6"/>
      <c r="B70" s="2"/>
      <c r="C70" s="12"/>
      <c r="D70" s="12"/>
      <c r="E70" s="3"/>
      <c r="F70" s="30"/>
    </row>
    <row r="71" spans="1:6" ht="15" customHeight="1" x14ac:dyDescent="0.25">
      <c r="A71" s="6"/>
      <c r="B71" s="2"/>
      <c r="C71" s="12"/>
      <c r="D71" s="12"/>
      <c r="E71" s="3"/>
      <c r="F71" s="30"/>
    </row>
    <row r="72" spans="1:6" ht="30" customHeight="1" x14ac:dyDescent="0.25">
      <c r="A72" s="6"/>
      <c r="B72" s="2"/>
      <c r="C72" s="12"/>
      <c r="D72" s="12"/>
      <c r="E72" s="3"/>
      <c r="F72" s="30"/>
    </row>
    <row r="73" spans="1:6" ht="15" customHeight="1" x14ac:dyDescent="0.25">
      <c r="A73" s="6"/>
      <c r="B73" s="2"/>
      <c r="C73" s="12"/>
      <c r="D73" s="12"/>
      <c r="E73" s="3"/>
      <c r="F73" s="30"/>
    </row>
    <row r="74" spans="1:6" ht="45" customHeight="1" x14ac:dyDescent="0.25">
      <c r="A74" s="6"/>
      <c r="B74" s="2"/>
      <c r="C74" s="12"/>
      <c r="D74" s="12"/>
      <c r="E74" s="3"/>
      <c r="F74" s="30"/>
    </row>
    <row r="75" spans="1:6" ht="30" customHeight="1" x14ac:dyDescent="0.25">
      <c r="A75" s="6"/>
      <c r="B75" s="2"/>
      <c r="C75" s="12"/>
      <c r="D75" s="12"/>
      <c r="E75" s="3"/>
      <c r="F75" s="30"/>
    </row>
    <row r="76" spans="1:6" ht="30" customHeight="1" x14ac:dyDescent="0.25">
      <c r="A76" s="6"/>
      <c r="B76" s="2"/>
      <c r="C76" s="12"/>
      <c r="D76" s="12"/>
      <c r="E76" s="3"/>
      <c r="F76" s="30"/>
    </row>
    <row r="77" spans="1:6" ht="30" customHeight="1" x14ac:dyDescent="0.25">
      <c r="A77" s="6"/>
      <c r="B77" s="2"/>
      <c r="C77" s="12"/>
      <c r="D77" s="12"/>
      <c r="E77" s="3"/>
      <c r="F77" s="30"/>
    </row>
    <row r="78" spans="1:6" ht="45" customHeight="1" x14ac:dyDescent="0.25">
      <c r="A78" s="6"/>
      <c r="B78" s="2"/>
      <c r="C78" s="12"/>
      <c r="D78" s="12"/>
      <c r="E78" s="3"/>
      <c r="F78" s="30"/>
    </row>
    <row r="79" spans="1:6" ht="30" customHeight="1" x14ac:dyDescent="0.25">
      <c r="A79" s="6"/>
      <c r="B79" s="2"/>
      <c r="C79" s="12"/>
      <c r="D79" s="12"/>
      <c r="E79" s="3"/>
      <c r="F79" s="30"/>
    </row>
    <row r="80" spans="1:6" ht="15" customHeight="1" x14ac:dyDescent="0.25">
      <c r="A80" s="7"/>
      <c r="B80" s="2"/>
      <c r="C80" s="12"/>
      <c r="D80" s="12"/>
      <c r="E80" s="3"/>
      <c r="F80" s="31"/>
    </row>
    <row r="82" spans="1:6" ht="15" customHeight="1" x14ac:dyDescent="0.25">
      <c r="A82" s="8" t="s">
        <v>0</v>
      </c>
      <c r="B82" s="2">
        <f>'Abstracts List'!A5</f>
        <v>81</v>
      </c>
      <c r="C82" s="1"/>
      <c r="D82" s="3"/>
      <c r="E82" s="3"/>
      <c r="F82" s="3"/>
    </row>
    <row r="83" spans="1:6" ht="15" customHeight="1" x14ac:dyDescent="0.25">
      <c r="A83" s="8" t="s">
        <v>1</v>
      </c>
      <c r="B83" s="2" t="str">
        <f>'Abstracts List'!B5</f>
        <v>Virtual Prosumers P2P Transaction Based Distribution Network Expansion Planning</v>
      </c>
      <c r="C83" s="1"/>
      <c r="D83" s="3"/>
      <c r="E83" s="4"/>
      <c r="F83" s="3"/>
    </row>
    <row r="84" spans="1:6" ht="200.25" customHeight="1" x14ac:dyDescent="0.25">
      <c r="A84" s="9" t="s">
        <v>3</v>
      </c>
      <c r="B84" s="2" t="str">
        <f>'Abstracts List'!C5</f>
        <v>The deployment of prosumers with distributed energy resources (DERs) has facilitated the prosumer-centric transactive market, giving rise to the consequent necessity for the coordination between prosumers and the distribution networks. This paper proposes an incentive-based expansion planning method considering virtual peer-to-peer (P2P) transaction among prosumers, which is characterized as a tri-level planning-operation-transaction framework. Each prosumer optimizes its internal response of DERs and external P2P transaction jointly, formulating virtual P2P transaction. Under such a paradigm, the distribution company (DISCO) identifies the optimal expansion planning in the network assets, while the independent distribution system operator (IDSO) is responsible for the optimal operation of the expanded distribution networks. To derive appropriate incentives for each prosumer, the DISCO and IDSO allocate long-term investment network charges and short-term operation network charges on prosumers, along with the designed financial transmission rights coupling multiple time scales. Through such incentives, self-profit driven virtual transactions can relieve operation problems and postpone expansion planning, acting as a short-term alternative. Moreover, a risk-based approach is proposed for prosumer to flexibly change strategy according to different risk preference. Finally, results from the case study demonstrate the superiority and effectiveness of the proposed method in the collaborative application of virtual transaction in the expansion planning.</v>
      </c>
      <c r="C84" s="1"/>
      <c r="D84" s="3"/>
      <c r="E84" s="5"/>
      <c r="F84" s="3"/>
    </row>
    <row r="85" spans="1:6" ht="15" customHeight="1" x14ac:dyDescent="0.25">
      <c r="A85" s="8" t="s">
        <v>5</v>
      </c>
      <c r="B85" s="11" t="s">
        <v>6</v>
      </c>
      <c r="C85" s="8" t="s">
        <v>7</v>
      </c>
      <c r="D85" s="8" t="s">
        <v>8</v>
      </c>
      <c r="E85" s="3"/>
      <c r="F85" s="29" t="s">
        <v>9</v>
      </c>
    </row>
    <row r="86" spans="1:6" ht="45" customHeight="1" x14ac:dyDescent="0.25">
      <c r="A86" s="10" t="s">
        <v>10</v>
      </c>
      <c r="B86" s="2" t="e" cm="1">
        <f t="array" aca="1" ref="B86" ca="1">INDIRECT(B85)</f>
        <v>#REF!</v>
      </c>
      <c r="C86" s="12"/>
      <c r="D86" s="12"/>
      <c r="E86" s="3"/>
      <c r="F86" s="30"/>
    </row>
    <row r="87" spans="1:6" ht="15" customHeight="1" x14ac:dyDescent="0.25">
      <c r="A87" s="6"/>
      <c r="B87" s="2"/>
      <c r="C87" s="12"/>
      <c r="D87" s="12"/>
      <c r="E87" s="3"/>
      <c r="F87" s="30"/>
    </row>
    <row r="88" spans="1:6" ht="15" customHeight="1" x14ac:dyDescent="0.25">
      <c r="A88" s="6"/>
      <c r="B88" s="2"/>
      <c r="C88" s="12"/>
      <c r="D88" s="12"/>
      <c r="E88" s="3"/>
      <c r="F88" s="30"/>
    </row>
    <row r="89" spans="1:6" ht="15" customHeight="1" x14ac:dyDescent="0.25">
      <c r="A89" s="6"/>
      <c r="B89" s="2"/>
      <c r="C89" s="12"/>
      <c r="D89" s="12"/>
      <c r="E89" s="3"/>
      <c r="F89" s="30"/>
    </row>
    <row r="90" spans="1:6" ht="15" customHeight="1" x14ac:dyDescent="0.25">
      <c r="A90" s="6"/>
      <c r="B90" s="2"/>
      <c r="C90" s="12"/>
      <c r="D90" s="12"/>
      <c r="E90" s="3"/>
      <c r="F90" s="30"/>
    </row>
    <row r="91" spans="1:6" ht="15" customHeight="1" x14ac:dyDescent="0.25">
      <c r="A91" s="6"/>
      <c r="B91" s="2"/>
      <c r="C91" s="12"/>
      <c r="D91" s="12"/>
      <c r="E91" s="3"/>
      <c r="F91" s="30"/>
    </row>
    <row r="92" spans="1:6" ht="15" customHeight="1" x14ac:dyDescent="0.25">
      <c r="A92" s="6"/>
      <c r="B92" s="2"/>
      <c r="C92" s="12"/>
      <c r="D92" s="12"/>
      <c r="E92" s="3"/>
      <c r="F92" s="30"/>
    </row>
    <row r="93" spans="1:6" ht="15" customHeight="1" x14ac:dyDescent="0.25">
      <c r="A93" s="6"/>
      <c r="B93" s="2"/>
      <c r="C93" s="12"/>
      <c r="D93" s="12"/>
      <c r="E93" s="3"/>
      <c r="F93" s="30"/>
    </row>
    <row r="94" spans="1:6" ht="15" customHeight="1" x14ac:dyDescent="0.25">
      <c r="A94" s="6"/>
      <c r="B94" s="2"/>
      <c r="C94" s="12"/>
      <c r="D94" s="12"/>
      <c r="E94" s="3"/>
      <c r="F94" s="30"/>
    </row>
    <row r="95" spans="1:6" ht="15" customHeight="1" x14ac:dyDescent="0.25">
      <c r="A95" s="6"/>
      <c r="B95" s="2"/>
      <c r="C95" s="12"/>
      <c r="D95" s="12"/>
      <c r="E95" s="3"/>
      <c r="F95" s="30"/>
    </row>
    <row r="96" spans="1:6" ht="15" customHeight="1" x14ac:dyDescent="0.25">
      <c r="A96" s="6"/>
      <c r="B96" s="2"/>
      <c r="C96" s="12"/>
      <c r="D96" s="12"/>
      <c r="E96" s="3"/>
      <c r="F96" s="30"/>
    </row>
    <row r="97" spans="1:6" ht="15" customHeight="1" x14ac:dyDescent="0.25">
      <c r="A97" s="6"/>
      <c r="B97" s="2"/>
      <c r="C97" s="12"/>
      <c r="D97" s="12"/>
      <c r="E97" s="3"/>
      <c r="F97" s="30"/>
    </row>
    <row r="98" spans="1:6" ht="15" customHeight="1" x14ac:dyDescent="0.25">
      <c r="A98" s="6"/>
      <c r="B98" s="2"/>
      <c r="C98" s="12"/>
      <c r="D98" s="12"/>
      <c r="E98" s="3"/>
      <c r="F98" s="30"/>
    </row>
    <row r="99" spans="1:6" ht="30" customHeight="1" x14ac:dyDescent="0.25">
      <c r="A99" s="6"/>
      <c r="B99" s="2"/>
      <c r="C99" s="12"/>
      <c r="D99" s="12"/>
      <c r="E99" s="3"/>
      <c r="F99" s="30"/>
    </row>
    <row r="100" spans="1:6" ht="15" customHeight="1" x14ac:dyDescent="0.25">
      <c r="A100" s="6"/>
      <c r="B100" s="2"/>
      <c r="C100" s="12"/>
      <c r="D100" s="12"/>
      <c r="E100" s="3"/>
      <c r="F100" s="30"/>
    </row>
    <row r="101" spans="1:6" ht="45" customHeight="1" x14ac:dyDescent="0.25">
      <c r="A101" s="6"/>
      <c r="B101" s="2"/>
      <c r="C101" s="12"/>
      <c r="D101" s="12"/>
      <c r="E101" s="3"/>
      <c r="F101" s="30"/>
    </row>
    <row r="102" spans="1:6" ht="30" customHeight="1" x14ac:dyDescent="0.25">
      <c r="A102" s="6"/>
      <c r="B102" s="2"/>
      <c r="C102" s="12"/>
      <c r="D102" s="12"/>
      <c r="E102" s="3"/>
      <c r="F102" s="30"/>
    </row>
    <row r="103" spans="1:6" ht="30" customHeight="1" x14ac:dyDescent="0.25">
      <c r="A103" s="6"/>
      <c r="B103" s="2"/>
      <c r="C103" s="12"/>
      <c r="D103" s="12"/>
      <c r="E103" s="3"/>
      <c r="F103" s="30"/>
    </row>
    <row r="104" spans="1:6" ht="30" customHeight="1" x14ac:dyDescent="0.25">
      <c r="A104" s="6"/>
      <c r="B104" s="2"/>
      <c r="C104" s="12"/>
      <c r="D104" s="12"/>
      <c r="E104" s="3"/>
      <c r="F104" s="30"/>
    </row>
    <row r="105" spans="1:6" ht="45" customHeight="1" x14ac:dyDescent="0.25">
      <c r="A105" s="6"/>
      <c r="B105" s="2"/>
      <c r="C105" s="12"/>
      <c r="D105" s="12"/>
      <c r="E105" s="3"/>
      <c r="F105" s="30"/>
    </row>
    <row r="106" spans="1:6" ht="30" customHeight="1" x14ac:dyDescent="0.25">
      <c r="A106" s="6"/>
      <c r="B106" s="2"/>
      <c r="C106" s="12"/>
      <c r="D106" s="12"/>
      <c r="E106" s="3"/>
      <c r="F106" s="30"/>
    </row>
    <row r="107" spans="1:6" ht="15" customHeight="1" x14ac:dyDescent="0.25">
      <c r="A107" s="7"/>
      <c r="B107" s="2"/>
      <c r="C107" s="12"/>
      <c r="D107" s="12"/>
      <c r="E107" s="3"/>
      <c r="F107" s="31"/>
    </row>
    <row r="109" spans="1:6" ht="15" customHeight="1" x14ac:dyDescent="0.25">
      <c r="A109" s="8" t="s">
        <v>0</v>
      </c>
      <c r="B109" s="2">
        <f>'Abstracts List'!A6</f>
        <v>134</v>
      </c>
      <c r="C109" s="1"/>
      <c r="D109" s="3"/>
      <c r="E109" s="3"/>
      <c r="F109" s="3"/>
    </row>
    <row r="110" spans="1:6" ht="15" customHeight="1" x14ac:dyDescent="0.25">
      <c r="A110" s="8" t="s">
        <v>1</v>
      </c>
      <c r="B110" s="2" t="str">
        <f>'Abstracts List'!B6</f>
        <v>High-Dimensional Feature Selection for Power System Congestion Event Prognosis With Enhanced Evolutionary Computation</v>
      </c>
      <c r="C110" s="1"/>
      <c r="D110" s="3"/>
      <c r="E110" s="4"/>
      <c r="F110" s="3"/>
    </row>
    <row r="111" spans="1:6" ht="182.25" customHeight="1" x14ac:dyDescent="0.25">
      <c r="A111" s="9" t="s">
        <v>3</v>
      </c>
      <c r="B111" s="2" t="str">
        <f>'Abstracts List'!C6</f>
        <v>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v>
      </c>
      <c r="C111" s="1"/>
      <c r="D111" s="3"/>
      <c r="E111" s="5"/>
      <c r="F111" s="3"/>
    </row>
    <row r="112" spans="1:6" ht="15" customHeight="1" x14ac:dyDescent="0.25">
      <c r="A112" s="8" t="s">
        <v>5</v>
      </c>
      <c r="B112" s="11" t="s">
        <v>6</v>
      </c>
      <c r="C112" s="8" t="s">
        <v>7</v>
      </c>
      <c r="D112" s="8" t="s">
        <v>8</v>
      </c>
      <c r="E112" s="3"/>
      <c r="F112" s="29" t="s">
        <v>9</v>
      </c>
    </row>
    <row r="113" spans="1:6" ht="45" customHeight="1" x14ac:dyDescent="0.25">
      <c r="A113" s="10" t="s">
        <v>10</v>
      </c>
      <c r="B113" s="2" t="e" cm="1">
        <f t="array" aca="1" ref="B113" ca="1">INDIRECT(B112)</f>
        <v>#REF!</v>
      </c>
      <c r="C113" s="12"/>
      <c r="D113" s="12"/>
      <c r="E113" s="3"/>
      <c r="F113" s="30"/>
    </row>
    <row r="114" spans="1:6" ht="15" customHeight="1" x14ac:dyDescent="0.25">
      <c r="A114" s="6"/>
      <c r="B114" s="2"/>
      <c r="C114" s="12"/>
      <c r="D114" s="12"/>
      <c r="E114" s="3"/>
      <c r="F114" s="30"/>
    </row>
    <row r="115" spans="1:6" ht="15" customHeight="1" x14ac:dyDescent="0.25">
      <c r="A115" s="6"/>
      <c r="B115" s="2"/>
      <c r="C115" s="12"/>
      <c r="D115" s="12"/>
      <c r="E115" s="3"/>
      <c r="F115" s="30"/>
    </row>
    <row r="116" spans="1:6" ht="15" customHeight="1" x14ac:dyDescent="0.25">
      <c r="A116" s="6"/>
      <c r="B116" s="2"/>
      <c r="C116" s="12"/>
      <c r="D116" s="12"/>
      <c r="E116" s="3"/>
      <c r="F116" s="30"/>
    </row>
    <row r="117" spans="1:6" ht="15" customHeight="1" x14ac:dyDescent="0.25">
      <c r="A117" s="6"/>
      <c r="B117" s="2"/>
      <c r="C117" s="12"/>
      <c r="D117" s="12"/>
      <c r="E117" s="3"/>
      <c r="F117" s="30"/>
    </row>
    <row r="118" spans="1:6" ht="15" customHeight="1" x14ac:dyDescent="0.25">
      <c r="A118" s="6"/>
      <c r="B118" s="2"/>
      <c r="C118" s="12"/>
      <c r="D118" s="12"/>
      <c r="E118" s="3"/>
      <c r="F118" s="30"/>
    </row>
    <row r="119" spans="1:6" ht="15" customHeight="1" x14ac:dyDescent="0.25">
      <c r="A119" s="6"/>
      <c r="B119" s="2"/>
      <c r="C119" s="12"/>
      <c r="D119" s="12"/>
      <c r="E119" s="3"/>
      <c r="F119" s="30"/>
    </row>
    <row r="120" spans="1:6" ht="15" customHeight="1" x14ac:dyDescent="0.25">
      <c r="A120" s="6"/>
      <c r="B120" s="2"/>
      <c r="C120" s="12"/>
      <c r="D120" s="12"/>
      <c r="E120" s="3"/>
      <c r="F120" s="30"/>
    </row>
    <row r="121" spans="1:6" ht="15" customHeight="1" x14ac:dyDescent="0.25">
      <c r="A121" s="6"/>
      <c r="B121" s="2"/>
      <c r="C121" s="12"/>
      <c r="D121" s="12"/>
      <c r="E121" s="3"/>
      <c r="F121" s="30"/>
    </row>
    <row r="122" spans="1:6" ht="15" customHeight="1" x14ac:dyDescent="0.25">
      <c r="A122" s="6"/>
      <c r="B122" s="2"/>
      <c r="C122" s="12"/>
      <c r="D122" s="12"/>
      <c r="E122" s="3"/>
      <c r="F122" s="30"/>
    </row>
    <row r="123" spans="1:6" ht="15" customHeight="1" x14ac:dyDescent="0.25">
      <c r="A123" s="6"/>
      <c r="B123" s="2"/>
      <c r="C123" s="12"/>
      <c r="D123" s="12"/>
      <c r="E123" s="3"/>
      <c r="F123" s="30"/>
    </row>
    <row r="124" spans="1:6" ht="15" customHeight="1" x14ac:dyDescent="0.25">
      <c r="A124" s="6"/>
      <c r="B124" s="2"/>
      <c r="C124" s="12"/>
      <c r="D124" s="12"/>
      <c r="E124" s="3"/>
      <c r="F124" s="30"/>
    </row>
    <row r="125" spans="1:6" ht="15" customHeight="1" x14ac:dyDescent="0.25">
      <c r="A125" s="6"/>
      <c r="B125" s="2"/>
      <c r="C125" s="12"/>
      <c r="D125" s="12"/>
      <c r="E125" s="3"/>
      <c r="F125" s="30"/>
    </row>
    <row r="126" spans="1:6" ht="30" customHeight="1" x14ac:dyDescent="0.25">
      <c r="A126" s="6"/>
      <c r="B126" s="2"/>
      <c r="C126" s="12"/>
      <c r="D126" s="12"/>
      <c r="E126" s="3"/>
      <c r="F126" s="30"/>
    </row>
    <row r="127" spans="1:6" ht="15" customHeight="1" x14ac:dyDescent="0.25">
      <c r="A127" s="6"/>
      <c r="B127" s="2"/>
      <c r="C127" s="12"/>
      <c r="D127" s="12"/>
      <c r="E127" s="3"/>
      <c r="F127" s="30"/>
    </row>
    <row r="128" spans="1:6" ht="45" customHeight="1" x14ac:dyDescent="0.25">
      <c r="A128" s="6"/>
      <c r="B128" s="2"/>
      <c r="C128" s="12"/>
      <c r="D128" s="12"/>
      <c r="E128" s="3"/>
      <c r="F128" s="30"/>
    </row>
    <row r="129" spans="1:6" ht="30" customHeight="1" x14ac:dyDescent="0.25">
      <c r="A129" s="6"/>
      <c r="B129" s="2"/>
      <c r="C129" s="12"/>
      <c r="D129" s="12"/>
      <c r="E129" s="3"/>
      <c r="F129" s="30"/>
    </row>
    <row r="130" spans="1:6" ht="30" customHeight="1" x14ac:dyDescent="0.25">
      <c r="A130" s="6"/>
      <c r="B130" s="2"/>
      <c r="C130" s="12"/>
      <c r="D130" s="12"/>
      <c r="E130" s="3"/>
      <c r="F130" s="30"/>
    </row>
    <row r="131" spans="1:6" ht="30" customHeight="1" x14ac:dyDescent="0.25">
      <c r="A131" s="6"/>
      <c r="B131" s="2"/>
      <c r="C131" s="12"/>
      <c r="D131" s="12"/>
      <c r="E131" s="3"/>
      <c r="F131" s="30"/>
    </row>
    <row r="132" spans="1:6" ht="45" customHeight="1" x14ac:dyDescent="0.25">
      <c r="A132" s="6"/>
      <c r="B132" s="2"/>
      <c r="C132" s="12"/>
      <c r="D132" s="12"/>
      <c r="E132" s="3"/>
      <c r="F132" s="30"/>
    </row>
    <row r="133" spans="1:6" ht="30" customHeight="1" x14ac:dyDescent="0.25">
      <c r="A133" s="6"/>
      <c r="B133" s="2"/>
      <c r="C133" s="12"/>
      <c r="D133" s="12"/>
      <c r="E133" s="3"/>
      <c r="F133" s="30"/>
    </row>
    <row r="134" spans="1:6" ht="15" customHeight="1" x14ac:dyDescent="0.25">
      <c r="A134" s="7"/>
      <c r="B134" s="2"/>
      <c r="C134" s="12"/>
      <c r="D134" s="12"/>
      <c r="E134" s="3"/>
      <c r="F134" s="31"/>
    </row>
    <row r="136" spans="1:6" ht="15" customHeight="1" x14ac:dyDescent="0.25">
      <c r="A136" s="8" t="s">
        <v>0</v>
      </c>
      <c r="B136" s="2">
        <f>'Abstracts List'!A7</f>
        <v>71</v>
      </c>
      <c r="C136" s="1"/>
      <c r="D136" s="3"/>
      <c r="E136" s="3"/>
      <c r="F136" s="3"/>
    </row>
    <row r="137" spans="1:6" ht="15" customHeight="1" x14ac:dyDescent="0.25">
      <c r="A137" s="8" t="s">
        <v>1</v>
      </c>
      <c r="B137" s="2" t="str">
        <f>'Abstracts List'!B7</f>
        <v>Electromechanical Transient Modeling of the Low-Frequency AC System With Modular Multilevel Matrix Converter Stations</v>
      </c>
      <c r="C137" s="1"/>
      <c r="D137" s="3"/>
      <c r="E137" s="4"/>
      <c r="F137" s="3"/>
    </row>
    <row r="138" spans="1:6" ht="141.75" customHeight="1" x14ac:dyDescent="0.25">
      <c r="A138" s="9" t="s">
        <v>3</v>
      </c>
      <c r="B138" s="2" t="str">
        <f>'Abstracts List'!C7</f>
        <v>This paper studies the electromechanical transient modeling of a low-frequency AC (LFAC) system with modular multilevel matrix converter (M3C) stations. Firstly, the mathematical model of the M3C and its equivalent circuits are established. Then, an iterative power flow calculation algorithm for AC systems integrated with the M3C-LFAC system is developed. The dynamic model of the M3C for electromechanical transient simulation is studied and implemented in PSS/E. Based on a test system consisting of two asynchronous AC systems with an embedded M3C-LFAC system, comparisons between the electromechanical transient simulation results from PSS/E and the electromagnetic transient simulation results from PSCAD are conducted. The results from PSS/E and PSCAD coincide with each other well, and the validity of the established electromechanical transient model is proved. Lastly, a stability study of a modified New England 39-bus system with an embedded M3C-LFAC system is executed, and the characteristics of the M3C-LFAC system are presented.</v>
      </c>
      <c r="C138" s="1"/>
      <c r="D138" s="3"/>
      <c r="E138" s="5"/>
      <c r="F138" s="3"/>
    </row>
    <row r="139" spans="1:6" ht="15" customHeight="1" x14ac:dyDescent="0.25">
      <c r="A139" s="8" t="s">
        <v>5</v>
      </c>
      <c r="B139" s="11" t="s">
        <v>6</v>
      </c>
      <c r="C139" s="8" t="s">
        <v>7</v>
      </c>
      <c r="D139" s="8" t="s">
        <v>8</v>
      </c>
      <c r="E139" s="3"/>
      <c r="F139" s="29" t="s">
        <v>9</v>
      </c>
    </row>
    <row r="140" spans="1:6" ht="45" customHeight="1" x14ac:dyDescent="0.25">
      <c r="A140" s="10" t="s">
        <v>10</v>
      </c>
      <c r="B140" s="2" t="e" cm="1">
        <f t="array" aca="1" ref="B140" ca="1">INDIRECT(B139)</f>
        <v>#REF!</v>
      </c>
      <c r="C140" s="12"/>
      <c r="D140" s="12"/>
      <c r="E140" s="3"/>
      <c r="F140" s="30"/>
    </row>
    <row r="141" spans="1:6" ht="15" customHeight="1" x14ac:dyDescent="0.25">
      <c r="A141" s="6"/>
      <c r="B141" s="2"/>
      <c r="C141" s="12"/>
      <c r="D141" s="12"/>
      <c r="E141" s="3"/>
      <c r="F141" s="30"/>
    </row>
    <row r="142" spans="1:6" ht="15" customHeight="1" x14ac:dyDescent="0.25">
      <c r="A142" s="6"/>
      <c r="B142" s="2"/>
      <c r="C142" s="12"/>
      <c r="D142" s="12"/>
      <c r="E142" s="3"/>
      <c r="F142" s="30"/>
    </row>
    <row r="143" spans="1:6" ht="15" customHeight="1" x14ac:dyDescent="0.25">
      <c r="A143" s="6"/>
      <c r="B143" s="2"/>
      <c r="C143" s="12"/>
      <c r="D143" s="12"/>
      <c r="E143" s="3"/>
      <c r="F143" s="30"/>
    </row>
    <row r="144" spans="1:6" ht="15" customHeight="1" x14ac:dyDescent="0.25">
      <c r="A144" s="6"/>
      <c r="B144" s="2"/>
      <c r="C144" s="12"/>
      <c r="D144" s="12"/>
      <c r="E144" s="3"/>
      <c r="F144" s="30"/>
    </row>
    <row r="145" spans="1:6" ht="15" customHeight="1" x14ac:dyDescent="0.25">
      <c r="A145" s="6"/>
      <c r="B145" s="2"/>
      <c r="C145" s="12"/>
      <c r="D145" s="12"/>
      <c r="E145" s="3"/>
      <c r="F145" s="30"/>
    </row>
    <row r="146" spans="1:6" ht="15" customHeight="1" x14ac:dyDescent="0.25">
      <c r="A146" s="6"/>
      <c r="B146" s="2"/>
      <c r="C146" s="12"/>
      <c r="D146" s="12"/>
      <c r="E146" s="3"/>
      <c r="F146" s="30"/>
    </row>
    <row r="147" spans="1:6" ht="15" customHeight="1" x14ac:dyDescent="0.25">
      <c r="A147" s="6"/>
      <c r="B147" s="2"/>
      <c r="C147" s="12"/>
      <c r="D147" s="12"/>
      <c r="E147" s="3"/>
      <c r="F147" s="30"/>
    </row>
    <row r="148" spans="1:6" ht="15" customHeight="1" x14ac:dyDescent="0.25">
      <c r="A148" s="6"/>
      <c r="B148" s="2"/>
      <c r="C148" s="12"/>
      <c r="D148" s="12"/>
      <c r="E148" s="3"/>
      <c r="F148" s="30"/>
    </row>
    <row r="149" spans="1:6" ht="15" customHeight="1" x14ac:dyDescent="0.25">
      <c r="A149" s="6"/>
      <c r="B149" s="2"/>
      <c r="C149" s="12"/>
      <c r="D149" s="12"/>
      <c r="E149" s="3"/>
      <c r="F149" s="30"/>
    </row>
    <row r="150" spans="1:6" ht="15" customHeight="1" x14ac:dyDescent="0.25">
      <c r="A150" s="6"/>
      <c r="B150" s="2"/>
      <c r="C150" s="12"/>
      <c r="D150" s="12"/>
      <c r="E150" s="3"/>
      <c r="F150" s="30"/>
    </row>
    <row r="151" spans="1:6" ht="15" customHeight="1" x14ac:dyDescent="0.25">
      <c r="A151" s="6"/>
      <c r="B151" s="2"/>
      <c r="C151" s="12"/>
      <c r="D151" s="12"/>
      <c r="E151" s="3"/>
      <c r="F151" s="30"/>
    </row>
    <row r="152" spans="1:6" ht="15" customHeight="1" x14ac:dyDescent="0.25">
      <c r="A152" s="6"/>
      <c r="B152" s="2"/>
      <c r="C152" s="12"/>
      <c r="D152" s="12"/>
      <c r="E152" s="3"/>
      <c r="F152" s="30"/>
    </row>
    <row r="153" spans="1:6" ht="30" customHeight="1" x14ac:dyDescent="0.25">
      <c r="A153" s="6"/>
      <c r="B153" s="2"/>
      <c r="C153" s="12"/>
      <c r="D153" s="12"/>
      <c r="E153" s="3"/>
      <c r="F153" s="30"/>
    </row>
    <row r="154" spans="1:6" ht="15" customHeight="1" x14ac:dyDescent="0.25">
      <c r="A154" s="6"/>
      <c r="B154" s="2"/>
      <c r="C154" s="12"/>
      <c r="D154" s="12"/>
      <c r="E154" s="3"/>
      <c r="F154" s="30"/>
    </row>
    <row r="155" spans="1:6" ht="45" customHeight="1" x14ac:dyDescent="0.25">
      <c r="A155" s="6"/>
      <c r="B155" s="2"/>
      <c r="C155" s="12"/>
      <c r="D155" s="12"/>
      <c r="E155" s="3"/>
      <c r="F155" s="30"/>
    </row>
    <row r="156" spans="1:6" ht="30" customHeight="1" x14ac:dyDescent="0.25">
      <c r="A156" s="6"/>
      <c r="B156" s="2"/>
      <c r="C156" s="12"/>
      <c r="D156" s="12"/>
      <c r="E156" s="3"/>
      <c r="F156" s="30"/>
    </row>
    <row r="157" spans="1:6" ht="30" customHeight="1" x14ac:dyDescent="0.25">
      <c r="A157" s="6"/>
      <c r="B157" s="2"/>
      <c r="C157" s="12"/>
      <c r="D157" s="12"/>
      <c r="E157" s="3"/>
      <c r="F157" s="30"/>
    </row>
    <row r="158" spans="1:6" ht="30" customHeight="1" x14ac:dyDescent="0.25">
      <c r="A158" s="6"/>
      <c r="B158" s="2"/>
      <c r="C158" s="12"/>
      <c r="D158" s="12"/>
      <c r="E158" s="3"/>
      <c r="F158" s="30"/>
    </row>
    <row r="159" spans="1:6" ht="45" customHeight="1" x14ac:dyDescent="0.25">
      <c r="A159" s="6"/>
      <c r="B159" s="2"/>
      <c r="C159" s="12"/>
      <c r="D159" s="12"/>
      <c r="E159" s="3"/>
      <c r="F159" s="30"/>
    </row>
    <row r="160" spans="1:6" ht="30" customHeight="1" x14ac:dyDescent="0.25">
      <c r="A160" s="6"/>
      <c r="B160" s="2"/>
      <c r="C160" s="12"/>
      <c r="D160" s="12"/>
      <c r="E160" s="3"/>
      <c r="F160" s="30"/>
    </row>
    <row r="161" spans="1:6" ht="15" customHeight="1" x14ac:dyDescent="0.25">
      <c r="A161" s="7"/>
      <c r="B161" s="2"/>
      <c r="C161" s="12"/>
      <c r="D161" s="12"/>
      <c r="E161" s="3"/>
      <c r="F161" s="31"/>
    </row>
    <row r="163" spans="1:6" ht="15" customHeight="1" x14ac:dyDescent="0.25">
      <c r="A163" s="8" t="s">
        <v>0</v>
      </c>
      <c r="B163" s="2">
        <f>'Abstracts List'!A8</f>
        <v>146</v>
      </c>
      <c r="C163" s="1"/>
      <c r="D163" s="3"/>
      <c r="E163" s="3"/>
      <c r="F163" s="3"/>
    </row>
    <row r="164" spans="1:6" ht="15" customHeight="1" x14ac:dyDescent="0.25">
      <c r="A164" s="8" t="s">
        <v>1</v>
      </c>
      <c r="B164" s="2" t="str">
        <f>'Abstracts List'!B8</f>
        <v>Automatic Generation of Topology Diagrams for Strongly-Meshed Power Transmission Systems</v>
      </c>
      <c r="C164" s="1"/>
      <c r="D164" s="3"/>
      <c r="E164" s="4"/>
      <c r="F164" s="3"/>
    </row>
    <row r="165" spans="1:6" ht="210.75" customHeight="1" x14ac:dyDescent="0.25">
      <c r="A165" s="9" t="s">
        <v>3</v>
      </c>
      <c r="B165" s="2" t="str">
        <f>'Abstracts List'!C8</f>
        <v>Topology diagrams are widely seen in power system applications, but their automatic generation is often easier said than done. When facing power transmission systems with strongly-meshed structures, existing approaches can hardly produce topology diagrams catering to the aesthetics of readers. This paper proposes an integrated framework for generating aesthetically-pleasing topology diagrams for power transmission systems. Input with a rough layout, the framework first conducts visibility region analysis to reduce line crossings and then solves a mixed-integer linear programming problem to optimize the arrangement of nodes. Given that the complexity of both modules is pretty high, simplification heuristics are also proposed to enhance the efficiency of the framework. Case studies on several power transmission systems containing up to 2,046 nodes demonstrate the capability of the proposed framework in generating topology diagrams conforming to aesthetic criteria in the power system community. Compared with the widespread force-directed algorithm, the proposed framework can preserve the relative positions of nodes in the original layout to a great extent, which significantly contributes to the identification of electrical elements on the diagrams. Meanwhile, the time consumption is acceptable for practical applications.</v>
      </c>
      <c r="C165" s="1"/>
      <c r="D165" s="3"/>
      <c r="E165" s="5"/>
      <c r="F165" s="3"/>
    </row>
    <row r="166" spans="1:6" ht="15" customHeight="1" x14ac:dyDescent="0.25">
      <c r="A166" s="8" t="s">
        <v>5</v>
      </c>
      <c r="B166" s="11" t="s">
        <v>6</v>
      </c>
      <c r="C166" s="8" t="s">
        <v>7</v>
      </c>
      <c r="D166" s="8" t="s">
        <v>8</v>
      </c>
      <c r="E166" s="3"/>
      <c r="F166" s="29" t="s">
        <v>9</v>
      </c>
    </row>
    <row r="167" spans="1:6" ht="45" customHeight="1" x14ac:dyDescent="0.25">
      <c r="A167" s="10" t="s">
        <v>10</v>
      </c>
      <c r="B167" s="2" t="e" cm="1">
        <f t="array" aca="1" ref="B167" ca="1">INDIRECT(B166)</f>
        <v>#REF!</v>
      </c>
      <c r="C167" s="12"/>
      <c r="D167" s="12"/>
      <c r="E167" s="3"/>
      <c r="F167" s="30"/>
    </row>
    <row r="168" spans="1:6" ht="15" customHeight="1" x14ac:dyDescent="0.25">
      <c r="A168" s="6"/>
      <c r="B168" s="2"/>
      <c r="C168" s="12"/>
      <c r="D168" s="12"/>
      <c r="E168" s="3"/>
      <c r="F168" s="30"/>
    </row>
    <row r="169" spans="1:6" ht="15" customHeight="1" x14ac:dyDescent="0.25">
      <c r="A169" s="6"/>
      <c r="B169" s="2"/>
      <c r="C169" s="12"/>
      <c r="D169" s="12"/>
      <c r="E169" s="3"/>
      <c r="F169" s="30"/>
    </row>
    <row r="170" spans="1:6" ht="15" customHeight="1" x14ac:dyDescent="0.25">
      <c r="A170" s="6"/>
      <c r="B170" s="2"/>
      <c r="C170" s="12"/>
      <c r="D170" s="12"/>
      <c r="E170" s="3"/>
      <c r="F170" s="30"/>
    </row>
    <row r="171" spans="1:6" ht="15" customHeight="1" x14ac:dyDescent="0.25">
      <c r="A171" s="6"/>
      <c r="B171" s="2"/>
      <c r="C171" s="12"/>
      <c r="D171" s="12"/>
      <c r="E171" s="3"/>
      <c r="F171" s="30"/>
    </row>
    <row r="172" spans="1:6" ht="15" customHeight="1" x14ac:dyDescent="0.25">
      <c r="A172" s="6"/>
      <c r="B172" s="2"/>
      <c r="C172" s="12"/>
      <c r="D172" s="12"/>
      <c r="E172" s="3"/>
      <c r="F172" s="30"/>
    </row>
    <row r="173" spans="1:6" ht="15" customHeight="1" x14ac:dyDescent="0.25">
      <c r="A173" s="6"/>
      <c r="B173" s="2"/>
      <c r="C173" s="12"/>
      <c r="D173" s="12"/>
      <c r="E173" s="3"/>
      <c r="F173" s="30"/>
    </row>
    <row r="174" spans="1:6" ht="15" customHeight="1" x14ac:dyDescent="0.25">
      <c r="A174" s="6"/>
      <c r="B174" s="2"/>
      <c r="C174" s="12"/>
      <c r="D174" s="12"/>
      <c r="E174" s="3"/>
      <c r="F174" s="30"/>
    </row>
    <row r="175" spans="1:6" ht="15" customHeight="1" x14ac:dyDescent="0.25">
      <c r="A175" s="6"/>
      <c r="B175" s="2"/>
      <c r="C175" s="12"/>
      <c r="D175" s="12"/>
      <c r="E175" s="3"/>
      <c r="F175" s="30"/>
    </row>
    <row r="176" spans="1:6" ht="15" customHeight="1" x14ac:dyDescent="0.25">
      <c r="A176" s="6"/>
      <c r="B176" s="2"/>
      <c r="C176" s="12"/>
      <c r="D176" s="12"/>
      <c r="E176" s="3"/>
      <c r="F176" s="30"/>
    </row>
    <row r="177" spans="1:6" ht="15" customHeight="1" x14ac:dyDescent="0.25">
      <c r="A177" s="6"/>
      <c r="B177" s="2"/>
      <c r="C177" s="12"/>
      <c r="D177" s="12"/>
      <c r="E177" s="3"/>
      <c r="F177" s="30"/>
    </row>
    <row r="178" spans="1:6" ht="15" customHeight="1" x14ac:dyDescent="0.25">
      <c r="A178" s="6"/>
      <c r="B178" s="2"/>
      <c r="C178" s="12"/>
      <c r="D178" s="12"/>
      <c r="E178" s="3"/>
      <c r="F178" s="30"/>
    </row>
    <row r="179" spans="1:6" ht="15" customHeight="1" x14ac:dyDescent="0.25">
      <c r="A179" s="6"/>
      <c r="B179" s="2"/>
      <c r="C179" s="12"/>
      <c r="D179" s="12"/>
      <c r="E179" s="3"/>
      <c r="F179" s="30"/>
    </row>
    <row r="180" spans="1:6" ht="30" customHeight="1" x14ac:dyDescent="0.25">
      <c r="A180" s="6"/>
      <c r="B180" s="2"/>
      <c r="C180" s="12"/>
      <c r="D180" s="12"/>
      <c r="E180" s="3"/>
      <c r="F180" s="30"/>
    </row>
    <row r="181" spans="1:6" ht="15" customHeight="1" x14ac:dyDescent="0.25">
      <c r="A181" s="6"/>
      <c r="B181" s="2"/>
      <c r="C181" s="12"/>
      <c r="D181" s="12"/>
      <c r="E181" s="3"/>
      <c r="F181" s="30"/>
    </row>
    <row r="182" spans="1:6" ht="45" customHeight="1" x14ac:dyDescent="0.25">
      <c r="A182" s="6"/>
      <c r="B182" s="2"/>
      <c r="C182" s="12"/>
      <c r="D182" s="12"/>
      <c r="E182" s="3"/>
      <c r="F182" s="30"/>
    </row>
    <row r="183" spans="1:6" ht="30" customHeight="1" x14ac:dyDescent="0.25">
      <c r="A183" s="6"/>
      <c r="B183" s="2"/>
      <c r="C183" s="12"/>
      <c r="D183" s="12"/>
      <c r="E183" s="3"/>
      <c r="F183" s="30"/>
    </row>
    <row r="184" spans="1:6" ht="30" customHeight="1" x14ac:dyDescent="0.25">
      <c r="A184" s="6"/>
      <c r="B184" s="2"/>
      <c r="C184" s="12"/>
      <c r="D184" s="12"/>
      <c r="E184" s="3"/>
      <c r="F184" s="30"/>
    </row>
    <row r="185" spans="1:6" ht="30" customHeight="1" x14ac:dyDescent="0.25">
      <c r="A185" s="6"/>
      <c r="B185" s="2"/>
      <c r="C185" s="12"/>
      <c r="D185" s="12"/>
      <c r="E185" s="3"/>
      <c r="F185" s="30"/>
    </row>
    <row r="186" spans="1:6" ht="45" customHeight="1" x14ac:dyDescent="0.25">
      <c r="A186" s="6"/>
      <c r="B186" s="2"/>
      <c r="C186" s="12"/>
      <c r="D186" s="12"/>
      <c r="E186" s="3"/>
      <c r="F186" s="30"/>
    </row>
    <row r="187" spans="1:6" ht="30" customHeight="1" x14ac:dyDescent="0.25">
      <c r="A187" s="6"/>
      <c r="B187" s="2"/>
      <c r="C187" s="12"/>
      <c r="D187" s="12"/>
      <c r="E187" s="3"/>
      <c r="F187" s="30"/>
    </row>
    <row r="188" spans="1:6" ht="15" customHeight="1" x14ac:dyDescent="0.25">
      <c r="A188" s="7"/>
      <c r="B188" s="2"/>
      <c r="C188" s="12"/>
      <c r="D188" s="12"/>
      <c r="E188" s="3"/>
      <c r="F188" s="31"/>
    </row>
    <row r="190" spans="1:6" ht="15" customHeight="1" x14ac:dyDescent="0.25">
      <c r="A190" s="8" t="s">
        <v>0</v>
      </c>
      <c r="B190" s="2">
        <f>'Abstracts List'!A9</f>
        <v>65</v>
      </c>
      <c r="C190" s="1"/>
      <c r="D190" s="3"/>
      <c r="E190" s="3"/>
      <c r="F190" s="3"/>
    </row>
    <row r="191" spans="1:6" ht="15" customHeight="1" x14ac:dyDescent="0.25">
      <c r="A191" s="8" t="s">
        <v>1</v>
      </c>
      <c r="B191" s="2" t="str">
        <f>'Abstracts List'!B9</f>
        <v>Cooperative Hierarchical Control of Isolated Microgrids Considering Energy Storage System Aggregation</v>
      </c>
      <c r="C191" s="1"/>
      <c r="D191" s="3"/>
      <c r="E191" s="4"/>
      <c r="F191" s="3"/>
    </row>
    <row r="192" spans="1:6" ht="141.75" customHeight="1" x14ac:dyDescent="0.25">
      <c r="A192" s="9" t="s">
        <v>3</v>
      </c>
      <c r="B192" s="2" t="str">
        <f>'Abstracts List'!C9</f>
        <v>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v>
      </c>
      <c r="C192" s="1"/>
      <c r="D192" s="3"/>
      <c r="E192" s="5"/>
      <c r="F192" s="3"/>
    </row>
    <row r="193" spans="1:6" ht="15" customHeight="1" x14ac:dyDescent="0.25">
      <c r="A193" s="8" t="s">
        <v>5</v>
      </c>
      <c r="B193" s="11" t="s">
        <v>6</v>
      </c>
      <c r="C193" s="8" t="s">
        <v>7</v>
      </c>
      <c r="D193" s="8" t="s">
        <v>8</v>
      </c>
      <c r="E193" s="3"/>
      <c r="F193" s="29" t="s">
        <v>9</v>
      </c>
    </row>
    <row r="194" spans="1:6" ht="45" customHeight="1" x14ac:dyDescent="0.25">
      <c r="A194" s="10" t="s">
        <v>10</v>
      </c>
      <c r="B194" s="2" t="e" cm="1">
        <f t="array" aca="1" ref="B194" ca="1">INDIRECT(B193)</f>
        <v>#REF!</v>
      </c>
      <c r="C194" s="12"/>
      <c r="D194" s="12"/>
      <c r="E194" s="3"/>
      <c r="F194" s="30"/>
    </row>
    <row r="195" spans="1:6" ht="15" customHeight="1" x14ac:dyDescent="0.25">
      <c r="A195" s="6"/>
      <c r="B195" s="2"/>
      <c r="C195" s="12"/>
      <c r="D195" s="12"/>
      <c r="E195" s="3"/>
      <c r="F195" s="30"/>
    </row>
    <row r="196" spans="1:6" ht="15" customHeight="1" x14ac:dyDescent="0.25">
      <c r="A196" s="6"/>
      <c r="B196" s="2"/>
      <c r="C196" s="12"/>
      <c r="D196" s="12"/>
      <c r="E196" s="3"/>
      <c r="F196" s="30"/>
    </row>
    <row r="197" spans="1:6" ht="15" customHeight="1" x14ac:dyDescent="0.25">
      <c r="A197" s="6"/>
      <c r="B197" s="2"/>
      <c r="C197" s="12"/>
      <c r="D197" s="12"/>
      <c r="E197" s="3"/>
      <c r="F197" s="30"/>
    </row>
    <row r="198" spans="1:6" ht="15" customHeight="1" x14ac:dyDescent="0.25">
      <c r="A198" s="6"/>
      <c r="B198" s="2"/>
      <c r="C198" s="12"/>
      <c r="D198" s="12"/>
      <c r="E198" s="3"/>
      <c r="F198" s="30"/>
    </row>
    <row r="199" spans="1:6" ht="15" customHeight="1" x14ac:dyDescent="0.25">
      <c r="A199" s="6"/>
      <c r="B199" s="2"/>
      <c r="C199" s="12"/>
      <c r="D199" s="12"/>
      <c r="E199" s="3"/>
      <c r="F199" s="30"/>
    </row>
    <row r="200" spans="1:6" ht="15" customHeight="1" x14ac:dyDescent="0.25">
      <c r="A200" s="6"/>
      <c r="B200" s="2"/>
      <c r="C200" s="12"/>
      <c r="D200" s="12"/>
      <c r="E200" s="3"/>
      <c r="F200" s="30"/>
    </row>
    <row r="201" spans="1:6" ht="15" customHeight="1" x14ac:dyDescent="0.25">
      <c r="A201" s="6"/>
      <c r="B201" s="2"/>
      <c r="C201" s="12"/>
      <c r="D201" s="12"/>
      <c r="E201" s="3"/>
      <c r="F201" s="30"/>
    </row>
    <row r="202" spans="1:6" ht="15" customHeight="1" x14ac:dyDescent="0.25">
      <c r="A202" s="6"/>
      <c r="B202" s="2"/>
      <c r="C202" s="12"/>
      <c r="D202" s="12"/>
      <c r="E202" s="3"/>
      <c r="F202" s="30"/>
    </row>
    <row r="203" spans="1:6" ht="15" customHeight="1" x14ac:dyDescent="0.25">
      <c r="A203" s="6"/>
      <c r="B203" s="2"/>
      <c r="C203" s="12"/>
      <c r="D203" s="12"/>
      <c r="E203" s="3"/>
      <c r="F203" s="30"/>
    </row>
    <row r="204" spans="1:6" ht="15" customHeight="1" x14ac:dyDescent="0.25">
      <c r="A204" s="6"/>
      <c r="B204" s="2"/>
      <c r="C204" s="12"/>
      <c r="D204" s="12"/>
      <c r="E204" s="3"/>
      <c r="F204" s="30"/>
    </row>
    <row r="205" spans="1:6" ht="15" customHeight="1" x14ac:dyDescent="0.25">
      <c r="A205" s="6"/>
      <c r="B205" s="2"/>
      <c r="C205" s="12"/>
      <c r="D205" s="12"/>
      <c r="E205" s="3"/>
      <c r="F205" s="30"/>
    </row>
    <row r="206" spans="1:6" ht="15" customHeight="1" x14ac:dyDescent="0.25">
      <c r="A206" s="6"/>
      <c r="B206" s="2"/>
      <c r="C206" s="12"/>
      <c r="D206" s="12"/>
      <c r="E206" s="3"/>
      <c r="F206" s="30"/>
    </row>
    <row r="207" spans="1:6" ht="30" customHeight="1" x14ac:dyDescent="0.25">
      <c r="A207" s="6"/>
      <c r="B207" s="2"/>
      <c r="C207" s="12"/>
      <c r="D207" s="12"/>
      <c r="E207" s="3"/>
      <c r="F207" s="30"/>
    </row>
    <row r="208" spans="1:6" ht="15" customHeight="1" x14ac:dyDescent="0.25">
      <c r="A208" s="6"/>
      <c r="B208" s="2"/>
      <c r="C208" s="12"/>
      <c r="D208" s="12"/>
      <c r="E208" s="3"/>
      <c r="F208" s="30"/>
    </row>
    <row r="209" spans="1:6" ht="45" customHeight="1" x14ac:dyDescent="0.25">
      <c r="A209" s="6"/>
      <c r="B209" s="2"/>
      <c r="C209" s="12"/>
      <c r="D209" s="12"/>
      <c r="E209" s="3"/>
      <c r="F209" s="30"/>
    </row>
    <row r="210" spans="1:6" ht="30" customHeight="1" x14ac:dyDescent="0.25">
      <c r="A210" s="6"/>
      <c r="B210" s="2"/>
      <c r="C210" s="12"/>
      <c r="D210" s="12"/>
      <c r="E210" s="3"/>
      <c r="F210" s="30"/>
    </row>
    <row r="211" spans="1:6" ht="30" customHeight="1" x14ac:dyDescent="0.25">
      <c r="A211" s="6"/>
      <c r="B211" s="2"/>
      <c r="C211" s="12"/>
      <c r="D211" s="12"/>
      <c r="E211" s="3"/>
      <c r="F211" s="30"/>
    </row>
    <row r="212" spans="1:6" ht="30" customHeight="1" x14ac:dyDescent="0.25">
      <c r="A212" s="6"/>
      <c r="B212" s="2"/>
      <c r="C212" s="12"/>
      <c r="D212" s="12"/>
      <c r="E212" s="3"/>
      <c r="F212" s="30"/>
    </row>
    <row r="213" spans="1:6" ht="45" customHeight="1" x14ac:dyDescent="0.25">
      <c r="A213" s="6"/>
      <c r="B213" s="2"/>
      <c r="C213" s="12"/>
      <c r="D213" s="12"/>
      <c r="E213" s="3"/>
      <c r="F213" s="30"/>
    </row>
    <row r="214" spans="1:6" ht="30" customHeight="1" x14ac:dyDescent="0.25">
      <c r="A214" s="6"/>
      <c r="B214" s="2"/>
      <c r="C214" s="12"/>
      <c r="D214" s="12"/>
      <c r="E214" s="3"/>
      <c r="F214" s="30"/>
    </row>
    <row r="215" spans="1:6" ht="15" customHeight="1" x14ac:dyDescent="0.25">
      <c r="A215" s="7"/>
      <c r="B215" s="2"/>
      <c r="C215" s="12"/>
      <c r="D215" s="12"/>
      <c r="E215" s="3"/>
      <c r="F215" s="31"/>
    </row>
    <row r="217" spans="1:6" ht="15" customHeight="1" x14ac:dyDescent="0.25">
      <c r="A217" s="8" t="s">
        <v>0</v>
      </c>
      <c r="B217" s="2">
        <f>'Abstracts List'!A10</f>
        <v>281</v>
      </c>
      <c r="C217" s="1"/>
      <c r="D217" s="3"/>
      <c r="E217" s="3"/>
      <c r="F217" s="3"/>
    </row>
    <row r="218" spans="1:6" ht="15" customHeight="1" x14ac:dyDescent="0.25">
      <c r="A218" s="8" t="s">
        <v>1</v>
      </c>
      <c r="B218" s="2" t="str">
        <f>'Abstracts List'!B10</f>
        <v>Minimum Energy Demands of Energy Storages for Fast Frequency Response: Formulation, Solution, and Implementation</v>
      </c>
      <c r="C218" s="1"/>
      <c r="D218" s="3"/>
      <c r="E218" s="4"/>
      <c r="F218" s="3"/>
    </row>
    <row r="219" spans="1:6" ht="207.75" customHeight="1" x14ac:dyDescent="0.25">
      <c r="A219" s="9" t="s">
        <v>3</v>
      </c>
      <c r="B219" s="2" t="str">
        <f>'Abstracts List'!C10</f>
        <v>Energy storage (ES) is a kind of promising but costly fast-frequency-response (FFR) resource in low-inertia power systems. This article addresses the minimum demand of a power system for energy capacities of ES to providing sufficient frequency support, including the formulation, the optimal solution, and its practical implementation. First, the minimum energy control problem of ESs for providing FFR with transient frequency constraints is formulated and then converted into an optimal frequency trajectory planning counterpart. This transformation makes the transient frequency constraint tractable and allows to identify the optimal frequency trajectory that minimizes energy demand for ESs, which leads to an analytical expression of the system minimum demand for ESs energy capacities to ensure frequency security. Moreover, by unfolding the optimal frequency trajectory, the optimal control strategy of ESs is derived explicitly for the first time. The theoretical result directs to a practical controller implementation, which is referred to as the decentralized optimal energy frequency control (DOEFC). Finally, simulations on the modified IEEE 39-bus system verify our results and demonstrate the superiority of the DOEFC in reducing the energy capacity demand of ESs, defending successive disturbances, and hedging against parameter errors.</v>
      </c>
      <c r="C219" s="1"/>
      <c r="D219" s="3"/>
      <c r="E219" s="5"/>
      <c r="F219" s="3"/>
    </row>
    <row r="220" spans="1:6" ht="15" customHeight="1" x14ac:dyDescent="0.25">
      <c r="A220" s="8" t="s">
        <v>5</v>
      </c>
      <c r="B220" s="11" t="s">
        <v>6</v>
      </c>
      <c r="C220" s="8" t="s">
        <v>7</v>
      </c>
      <c r="D220" s="8" t="s">
        <v>8</v>
      </c>
      <c r="E220" s="3"/>
      <c r="F220" s="29" t="s">
        <v>9</v>
      </c>
    </row>
    <row r="221" spans="1:6" ht="45" customHeight="1" x14ac:dyDescent="0.25">
      <c r="A221" s="10" t="s">
        <v>10</v>
      </c>
      <c r="B221" s="2" t="e" cm="1">
        <f t="array" aca="1" ref="B221" ca="1">INDIRECT(B220)</f>
        <v>#REF!</v>
      </c>
      <c r="C221" s="12"/>
      <c r="D221" s="12"/>
      <c r="E221" s="3"/>
      <c r="F221" s="30"/>
    </row>
    <row r="222" spans="1:6" ht="15" customHeight="1" x14ac:dyDescent="0.25">
      <c r="A222" s="6"/>
      <c r="B222" s="2"/>
      <c r="C222" s="12"/>
      <c r="D222" s="12"/>
      <c r="E222" s="3"/>
      <c r="F222" s="30"/>
    </row>
    <row r="223" spans="1:6" ht="15" customHeight="1" x14ac:dyDescent="0.25">
      <c r="A223" s="6"/>
      <c r="B223" s="2"/>
      <c r="C223" s="12"/>
      <c r="D223" s="12"/>
      <c r="E223" s="3"/>
      <c r="F223" s="30"/>
    </row>
    <row r="224" spans="1:6" ht="15" customHeight="1" x14ac:dyDescent="0.25">
      <c r="A224" s="6"/>
      <c r="B224" s="2"/>
      <c r="C224" s="12"/>
      <c r="D224" s="12"/>
      <c r="E224" s="3"/>
      <c r="F224" s="30"/>
    </row>
    <row r="225" spans="1:6" ht="15" customHeight="1" x14ac:dyDescent="0.25">
      <c r="A225" s="6"/>
      <c r="B225" s="2"/>
      <c r="C225" s="12"/>
      <c r="D225" s="12"/>
      <c r="E225" s="3"/>
      <c r="F225" s="30"/>
    </row>
    <row r="226" spans="1:6" ht="15" customHeight="1" x14ac:dyDescent="0.25">
      <c r="A226" s="6"/>
      <c r="B226" s="2"/>
      <c r="C226" s="12"/>
      <c r="D226" s="12"/>
      <c r="E226" s="3"/>
      <c r="F226" s="30"/>
    </row>
    <row r="227" spans="1:6" ht="15" customHeight="1" x14ac:dyDescent="0.25">
      <c r="A227" s="6"/>
      <c r="B227" s="2"/>
      <c r="C227" s="12"/>
      <c r="D227" s="12"/>
      <c r="E227" s="3"/>
      <c r="F227" s="30"/>
    </row>
    <row r="228" spans="1:6" ht="15" customHeight="1" x14ac:dyDescent="0.25">
      <c r="A228" s="6"/>
      <c r="B228" s="2"/>
      <c r="C228" s="12"/>
      <c r="D228" s="12"/>
      <c r="E228" s="3"/>
      <c r="F228" s="30"/>
    </row>
    <row r="229" spans="1:6" ht="15" customHeight="1" x14ac:dyDescent="0.25">
      <c r="A229" s="6"/>
      <c r="B229" s="2"/>
      <c r="C229" s="12"/>
      <c r="D229" s="12"/>
      <c r="E229" s="3"/>
      <c r="F229" s="30"/>
    </row>
    <row r="230" spans="1:6" ht="15" customHeight="1" x14ac:dyDescent="0.25">
      <c r="A230" s="6"/>
      <c r="B230" s="2"/>
      <c r="C230" s="12"/>
      <c r="D230" s="12"/>
      <c r="E230" s="3"/>
      <c r="F230" s="30"/>
    </row>
    <row r="231" spans="1:6" ht="15" customHeight="1" x14ac:dyDescent="0.25">
      <c r="A231" s="6"/>
      <c r="B231" s="2"/>
      <c r="C231" s="12"/>
      <c r="D231" s="12"/>
      <c r="E231" s="3"/>
      <c r="F231" s="30"/>
    </row>
    <row r="232" spans="1:6" ht="15" customHeight="1" x14ac:dyDescent="0.25">
      <c r="A232" s="6"/>
      <c r="B232" s="2"/>
      <c r="C232" s="12"/>
      <c r="D232" s="12"/>
      <c r="E232" s="3"/>
      <c r="F232" s="30"/>
    </row>
    <row r="233" spans="1:6" ht="15" customHeight="1" x14ac:dyDescent="0.25">
      <c r="A233" s="6"/>
      <c r="B233" s="2"/>
      <c r="C233" s="12"/>
      <c r="D233" s="12"/>
      <c r="E233" s="3"/>
      <c r="F233" s="30"/>
    </row>
    <row r="234" spans="1:6" ht="30" customHeight="1" x14ac:dyDescent="0.25">
      <c r="A234" s="6"/>
      <c r="B234" s="2"/>
      <c r="C234" s="12"/>
      <c r="D234" s="12"/>
      <c r="E234" s="3"/>
      <c r="F234" s="30"/>
    </row>
    <row r="235" spans="1:6" ht="15" customHeight="1" x14ac:dyDescent="0.25">
      <c r="A235" s="6"/>
      <c r="B235" s="2"/>
      <c r="C235" s="12"/>
      <c r="D235" s="12"/>
      <c r="E235" s="3"/>
      <c r="F235" s="30"/>
    </row>
    <row r="236" spans="1:6" ht="45" customHeight="1" x14ac:dyDescent="0.25">
      <c r="A236" s="6"/>
      <c r="B236" s="2"/>
      <c r="C236" s="12"/>
      <c r="D236" s="12"/>
      <c r="E236" s="3"/>
      <c r="F236" s="30"/>
    </row>
    <row r="237" spans="1:6" ht="30" customHeight="1" x14ac:dyDescent="0.25">
      <c r="A237" s="6"/>
      <c r="B237" s="2"/>
      <c r="C237" s="12"/>
      <c r="D237" s="12"/>
      <c r="E237" s="3"/>
      <c r="F237" s="30"/>
    </row>
    <row r="238" spans="1:6" ht="30" customHeight="1" x14ac:dyDescent="0.25">
      <c r="A238" s="6"/>
      <c r="B238" s="2"/>
      <c r="C238" s="12"/>
      <c r="D238" s="12"/>
      <c r="E238" s="3"/>
      <c r="F238" s="30"/>
    </row>
    <row r="239" spans="1:6" ht="30" customHeight="1" x14ac:dyDescent="0.25">
      <c r="A239" s="6"/>
      <c r="B239" s="2"/>
      <c r="C239" s="12"/>
      <c r="D239" s="12"/>
      <c r="E239" s="3"/>
      <c r="F239" s="30"/>
    </row>
    <row r="240" spans="1:6" ht="45" customHeight="1" x14ac:dyDescent="0.25">
      <c r="A240" s="6"/>
      <c r="B240" s="2"/>
      <c r="C240" s="12"/>
      <c r="D240" s="12"/>
      <c r="E240" s="3"/>
      <c r="F240" s="30"/>
    </row>
    <row r="241" spans="1:6" ht="30" customHeight="1" x14ac:dyDescent="0.25">
      <c r="A241" s="6"/>
      <c r="B241" s="2"/>
      <c r="C241" s="12"/>
      <c r="D241" s="12"/>
      <c r="E241" s="3"/>
      <c r="F241" s="30"/>
    </row>
    <row r="242" spans="1:6" ht="15" customHeight="1" x14ac:dyDescent="0.25">
      <c r="A242" s="7"/>
      <c r="B242" s="2"/>
      <c r="C242" s="12"/>
      <c r="D242" s="12"/>
      <c r="E242" s="3"/>
      <c r="F242" s="31"/>
    </row>
    <row r="244" spans="1:6" ht="15" customHeight="1" x14ac:dyDescent="0.25">
      <c r="A244" s="8" t="s">
        <v>0</v>
      </c>
      <c r="B244" s="2">
        <f>'Abstracts List'!A13</f>
        <v>241</v>
      </c>
      <c r="C244" s="1"/>
      <c r="D244" s="3"/>
      <c r="E244" s="3"/>
      <c r="F244" s="3"/>
    </row>
    <row r="245" spans="1:6" ht="15" customHeight="1" x14ac:dyDescent="0.25">
      <c r="A245" s="8" t="s">
        <v>1</v>
      </c>
      <c r="B245" s="2" t="str">
        <f>'Abstracts List'!B13</f>
        <v>Adaptive Weighted Combination Approach for Wind Power Forecast Based on Deep Deterministic Policy Gradient Method</v>
      </c>
      <c r="C245" s="1"/>
      <c r="D245" s="3"/>
      <c r="E245" s="4"/>
      <c r="F245" s="3"/>
    </row>
    <row r="246" spans="1:6" ht="194.25" customHeight="1" x14ac:dyDescent="0.25">
      <c r="A246" s="9" t="s">
        <v>3</v>
      </c>
      <c r="B246" s="2" t="str">
        <f>'Abstracts List'!C13</f>
        <v>Accurate wind power forecast (WPF) is critical for ensuring secure and economic operation of a power system, and combination forecasting approaches for WPF have been proved effective on attaining accurate forecasting results. However, the weights in a combination forecasting model are usually predetermined based on the global performance on the training set, limiting the adaptability of the model to different scenarios. To further enhance the accuracy and effectiveness of the combination forecasting approaches, this article proposes an adaptive weighted combination forecasting approach based on the deep deterministic policy gradient (DDPG) so as to consider the local behavior accompanied by the change of external environment. Three sub-models are first selected considering the equal-likelihood and dispersion indices to construct a combination model. Then, the DDPG agent is trained to act as a weight generator by interacting with the environment and to maximize the reward. Thus, the DDPG agent can perceive the environmental changes online and dynamically weight the sub-models to attain accurate forecasting results. Case studies demonstrate that the forecasting accuracy of the proposed approach is better than that of all sub-models and several benchmark combination forecasting approaches.</v>
      </c>
      <c r="C246" s="1"/>
      <c r="D246" s="3"/>
      <c r="E246" s="5"/>
      <c r="F246" s="3"/>
    </row>
    <row r="247" spans="1:6" ht="15" customHeight="1" x14ac:dyDescent="0.25">
      <c r="A247" s="8" t="s">
        <v>5</v>
      </c>
      <c r="B247" s="11" t="s">
        <v>6</v>
      </c>
      <c r="C247" s="8" t="s">
        <v>7</v>
      </c>
      <c r="D247" s="8" t="s">
        <v>8</v>
      </c>
      <c r="E247" s="3"/>
      <c r="F247" s="29" t="s">
        <v>9</v>
      </c>
    </row>
    <row r="248" spans="1:6" ht="45" customHeight="1" x14ac:dyDescent="0.25">
      <c r="A248" s="10" t="s">
        <v>10</v>
      </c>
      <c r="B248" s="2" t="e" cm="1">
        <f t="array" aca="1" ref="B248" ca="1">INDIRECT(B247)</f>
        <v>#REF!</v>
      </c>
      <c r="C248" s="12"/>
      <c r="D248" s="12"/>
      <c r="E248" s="3"/>
      <c r="F248" s="30"/>
    </row>
    <row r="249" spans="1:6" ht="15" customHeight="1" x14ac:dyDescent="0.25">
      <c r="A249" s="6"/>
      <c r="B249" s="2"/>
      <c r="C249" s="12"/>
      <c r="D249" s="12"/>
      <c r="E249" s="3"/>
      <c r="F249" s="30"/>
    </row>
    <row r="250" spans="1:6" ht="15" customHeight="1" x14ac:dyDescent="0.25">
      <c r="A250" s="6"/>
      <c r="B250" s="2"/>
      <c r="C250" s="12"/>
      <c r="D250" s="12"/>
      <c r="E250" s="3"/>
      <c r="F250" s="30"/>
    </row>
    <row r="251" spans="1:6" ht="15" customHeight="1" x14ac:dyDescent="0.25">
      <c r="A251" s="6"/>
      <c r="B251" s="2"/>
      <c r="C251" s="12"/>
      <c r="D251" s="12"/>
      <c r="E251" s="3"/>
      <c r="F251" s="30"/>
    </row>
    <row r="252" spans="1:6" ht="15" customHeight="1" x14ac:dyDescent="0.25">
      <c r="A252" s="6"/>
      <c r="B252" s="2"/>
      <c r="C252" s="12"/>
      <c r="D252" s="12"/>
      <c r="E252" s="3"/>
      <c r="F252" s="30"/>
    </row>
    <row r="253" spans="1:6" ht="15" customHeight="1" x14ac:dyDescent="0.25">
      <c r="A253" s="6"/>
      <c r="B253" s="2"/>
      <c r="C253" s="12"/>
      <c r="D253" s="12"/>
      <c r="E253" s="3"/>
      <c r="F253" s="30"/>
    </row>
    <row r="254" spans="1:6" ht="15" customHeight="1" x14ac:dyDescent="0.25">
      <c r="A254" s="6"/>
      <c r="B254" s="2"/>
      <c r="C254" s="12"/>
      <c r="D254" s="12"/>
      <c r="E254" s="3"/>
      <c r="F254" s="30"/>
    </row>
    <row r="255" spans="1:6" ht="15" customHeight="1" x14ac:dyDescent="0.25">
      <c r="A255" s="6"/>
      <c r="B255" s="2"/>
      <c r="C255" s="12"/>
      <c r="D255" s="12"/>
      <c r="E255" s="3"/>
      <c r="F255" s="30"/>
    </row>
    <row r="256" spans="1:6" ht="15" customHeight="1" x14ac:dyDescent="0.25">
      <c r="A256" s="6"/>
      <c r="B256" s="2"/>
      <c r="C256" s="12"/>
      <c r="D256" s="12"/>
      <c r="E256" s="3"/>
      <c r="F256" s="30"/>
    </row>
    <row r="257" spans="1:6" ht="15" customHeight="1" x14ac:dyDescent="0.25">
      <c r="A257" s="6"/>
      <c r="B257" s="2"/>
      <c r="C257" s="12"/>
      <c r="D257" s="12"/>
      <c r="E257" s="3"/>
      <c r="F257" s="30"/>
    </row>
    <row r="258" spans="1:6" ht="15" customHeight="1" x14ac:dyDescent="0.25">
      <c r="A258" s="6"/>
      <c r="B258" s="2"/>
      <c r="C258" s="12"/>
      <c r="D258" s="12"/>
      <c r="E258" s="3"/>
      <c r="F258" s="30"/>
    </row>
    <row r="259" spans="1:6" ht="15" customHeight="1" x14ac:dyDescent="0.25">
      <c r="A259" s="6"/>
      <c r="B259" s="2"/>
      <c r="C259" s="12"/>
      <c r="D259" s="12"/>
      <c r="E259" s="3"/>
      <c r="F259" s="30"/>
    </row>
    <row r="260" spans="1:6" ht="15" customHeight="1" x14ac:dyDescent="0.25">
      <c r="A260" s="6"/>
      <c r="B260" s="2"/>
      <c r="C260" s="12"/>
      <c r="D260" s="12"/>
      <c r="E260" s="3"/>
      <c r="F260" s="30"/>
    </row>
    <row r="261" spans="1:6" ht="30" customHeight="1" x14ac:dyDescent="0.25">
      <c r="A261" s="6"/>
      <c r="B261" s="2"/>
      <c r="C261" s="12"/>
      <c r="D261" s="12"/>
      <c r="E261" s="3"/>
      <c r="F261" s="30"/>
    </row>
    <row r="262" spans="1:6" ht="15" customHeight="1" x14ac:dyDescent="0.25">
      <c r="A262" s="6"/>
      <c r="B262" s="2"/>
      <c r="C262" s="12"/>
      <c r="D262" s="12"/>
      <c r="E262" s="3"/>
      <c r="F262" s="30"/>
    </row>
    <row r="263" spans="1:6" ht="45" customHeight="1" x14ac:dyDescent="0.25">
      <c r="A263" s="6"/>
      <c r="B263" s="2"/>
      <c r="C263" s="12"/>
      <c r="D263" s="12"/>
      <c r="E263" s="3"/>
      <c r="F263" s="30"/>
    </row>
    <row r="264" spans="1:6" ht="30" customHeight="1" x14ac:dyDescent="0.25">
      <c r="A264" s="6"/>
      <c r="B264" s="2"/>
      <c r="C264" s="12"/>
      <c r="D264" s="12"/>
      <c r="E264" s="3"/>
      <c r="F264" s="30"/>
    </row>
    <row r="265" spans="1:6" ht="30" customHeight="1" x14ac:dyDescent="0.25">
      <c r="A265" s="6"/>
      <c r="B265" s="2"/>
      <c r="C265" s="12"/>
      <c r="D265" s="12"/>
      <c r="E265" s="3"/>
      <c r="F265" s="30"/>
    </row>
    <row r="266" spans="1:6" ht="30" customHeight="1" x14ac:dyDescent="0.25">
      <c r="A266" s="6"/>
      <c r="B266" s="2"/>
      <c r="C266" s="12"/>
      <c r="D266" s="12"/>
      <c r="E266" s="3"/>
      <c r="F266" s="30"/>
    </row>
    <row r="267" spans="1:6" ht="45" customHeight="1" x14ac:dyDescent="0.25">
      <c r="A267" s="6"/>
      <c r="B267" s="2"/>
      <c r="C267" s="12"/>
      <c r="D267" s="12"/>
      <c r="E267" s="3"/>
      <c r="F267" s="30"/>
    </row>
    <row r="268" spans="1:6" ht="30" customHeight="1" x14ac:dyDescent="0.25">
      <c r="A268" s="6"/>
      <c r="B268" s="2"/>
      <c r="C268" s="12"/>
      <c r="D268" s="12"/>
      <c r="E268" s="3"/>
      <c r="F268" s="30"/>
    </row>
    <row r="269" spans="1:6" ht="15" customHeight="1" x14ac:dyDescent="0.25">
      <c r="A269" s="7"/>
      <c r="B269" s="2"/>
      <c r="C269" s="12"/>
      <c r="D269" s="12"/>
      <c r="E269" s="3"/>
      <c r="F269" s="31"/>
    </row>
    <row r="271" spans="1:6" ht="15" customHeight="1" x14ac:dyDescent="0.25">
      <c r="A271" s="8" t="s">
        <v>0</v>
      </c>
      <c r="B271" s="2">
        <f>'Abstracts List'!A14</f>
        <v>94</v>
      </c>
      <c r="C271" s="1"/>
      <c r="D271" s="3"/>
      <c r="E271" s="3"/>
      <c r="F271" s="3"/>
    </row>
    <row r="272" spans="1:6" ht="15" customHeight="1" x14ac:dyDescent="0.25">
      <c r="A272" s="8" t="s">
        <v>1</v>
      </c>
      <c r="B272" s="2" t="str">
        <f>'Abstracts List'!B14</f>
        <v>An AC-Feasible Linear Model in Distribution Networks With Energy Storage</v>
      </c>
      <c r="C272" s="1"/>
      <c r="D272" s="3"/>
      <c r="E272" s="4"/>
      <c r="F272" s="3"/>
    </row>
    <row r="273" spans="1:6" ht="188.25" customHeight="1" x14ac:dyDescent="0.25">
      <c r="A273" s="9" t="s">
        <v>3</v>
      </c>
      <c r="B273" s="2" t="str">
        <f>'Abstracts List'!C14</f>
        <v>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v>
      </c>
      <c r="C273" s="1"/>
      <c r="D273" s="3"/>
      <c r="E273" s="5"/>
      <c r="F273" s="3"/>
    </row>
    <row r="274" spans="1:6" ht="15" customHeight="1" x14ac:dyDescent="0.25">
      <c r="A274" s="8" t="s">
        <v>5</v>
      </c>
      <c r="B274" s="11" t="s">
        <v>6</v>
      </c>
      <c r="C274" s="8" t="s">
        <v>7</v>
      </c>
      <c r="D274" s="8" t="s">
        <v>8</v>
      </c>
      <c r="E274" s="3"/>
      <c r="F274" s="29" t="s">
        <v>9</v>
      </c>
    </row>
    <row r="275" spans="1:6" ht="45" customHeight="1" x14ac:dyDescent="0.25">
      <c r="A275" s="10" t="s">
        <v>10</v>
      </c>
      <c r="B275" s="2" t="e" cm="1">
        <f t="array" aca="1" ref="B275" ca="1">INDIRECT(B274)</f>
        <v>#REF!</v>
      </c>
      <c r="C275" s="12"/>
      <c r="D275" s="12"/>
      <c r="E275" s="3"/>
      <c r="F275" s="30"/>
    </row>
    <row r="276" spans="1:6" ht="15" customHeight="1" x14ac:dyDescent="0.25">
      <c r="A276" s="6"/>
      <c r="B276" s="2"/>
      <c r="C276" s="12"/>
      <c r="D276" s="12"/>
      <c r="E276" s="3"/>
      <c r="F276" s="30"/>
    </row>
    <row r="277" spans="1:6" ht="15" customHeight="1" x14ac:dyDescent="0.25">
      <c r="A277" s="6"/>
      <c r="B277" s="2"/>
      <c r="C277" s="12"/>
      <c r="D277" s="12"/>
      <c r="E277" s="3"/>
      <c r="F277" s="30"/>
    </row>
    <row r="278" spans="1:6" ht="15" customHeight="1" x14ac:dyDescent="0.25">
      <c r="A278" s="6"/>
      <c r="B278" s="2"/>
      <c r="C278" s="12"/>
      <c r="D278" s="12"/>
      <c r="E278" s="3"/>
      <c r="F278" s="30"/>
    </row>
    <row r="279" spans="1:6" ht="15" customHeight="1" x14ac:dyDescent="0.25">
      <c r="A279" s="6"/>
      <c r="B279" s="2"/>
      <c r="C279" s="12"/>
      <c r="D279" s="12"/>
      <c r="E279" s="3"/>
      <c r="F279" s="30"/>
    </row>
    <row r="280" spans="1:6" ht="15" customHeight="1" x14ac:dyDescent="0.25">
      <c r="A280" s="6"/>
      <c r="B280" s="2"/>
      <c r="C280" s="12"/>
      <c r="D280" s="12"/>
      <c r="E280" s="3"/>
      <c r="F280" s="30"/>
    </row>
    <row r="281" spans="1:6" ht="15" customHeight="1" x14ac:dyDescent="0.25">
      <c r="A281" s="6"/>
      <c r="B281" s="2"/>
      <c r="C281" s="12"/>
      <c r="D281" s="12"/>
      <c r="E281" s="3"/>
      <c r="F281" s="30"/>
    </row>
    <row r="282" spans="1:6" ht="15" customHeight="1" x14ac:dyDescent="0.25">
      <c r="A282" s="6"/>
      <c r="B282" s="2"/>
      <c r="C282" s="12"/>
      <c r="D282" s="12"/>
      <c r="E282" s="3"/>
      <c r="F282" s="30"/>
    </row>
    <row r="283" spans="1:6" ht="15" customHeight="1" x14ac:dyDescent="0.25">
      <c r="A283" s="6"/>
      <c r="B283" s="2"/>
      <c r="C283" s="12"/>
      <c r="D283" s="12"/>
      <c r="E283" s="3"/>
      <c r="F283" s="30"/>
    </row>
    <row r="284" spans="1:6" ht="15" customHeight="1" x14ac:dyDescent="0.25">
      <c r="A284" s="6"/>
      <c r="B284" s="2"/>
      <c r="C284" s="12"/>
      <c r="D284" s="12"/>
      <c r="E284" s="3"/>
      <c r="F284" s="30"/>
    </row>
    <row r="285" spans="1:6" ht="15" customHeight="1" x14ac:dyDescent="0.25">
      <c r="A285" s="6"/>
      <c r="B285" s="2"/>
      <c r="C285" s="12"/>
      <c r="D285" s="12"/>
      <c r="E285" s="3"/>
      <c r="F285" s="30"/>
    </row>
    <row r="286" spans="1:6" ht="15" customHeight="1" x14ac:dyDescent="0.25">
      <c r="A286" s="6"/>
      <c r="B286" s="2"/>
      <c r="C286" s="12"/>
      <c r="D286" s="12"/>
      <c r="E286" s="3"/>
      <c r="F286" s="30"/>
    </row>
    <row r="287" spans="1:6" ht="15" customHeight="1" x14ac:dyDescent="0.25">
      <c r="A287" s="6"/>
      <c r="B287" s="2"/>
      <c r="C287" s="12"/>
      <c r="D287" s="12"/>
      <c r="E287" s="3"/>
      <c r="F287" s="30"/>
    </row>
    <row r="288" spans="1:6" ht="30" customHeight="1" x14ac:dyDescent="0.25">
      <c r="A288" s="6"/>
      <c r="B288" s="2"/>
      <c r="C288" s="12"/>
      <c r="D288" s="12"/>
      <c r="E288" s="3"/>
      <c r="F288" s="30"/>
    </row>
    <row r="289" spans="1:6" ht="15" customHeight="1" x14ac:dyDescent="0.25">
      <c r="A289" s="6"/>
      <c r="B289" s="2"/>
      <c r="C289" s="12"/>
      <c r="D289" s="12"/>
      <c r="E289" s="3"/>
      <c r="F289" s="30"/>
    </row>
    <row r="290" spans="1:6" ht="45" customHeight="1" x14ac:dyDescent="0.25">
      <c r="A290" s="6"/>
      <c r="B290" s="2"/>
      <c r="C290" s="12"/>
      <c r="D290" s="12"/>
      <c r="E290" s="3"/>
      <c r="F290" s="30"/>
    </row>
    <row r="291" spans="1:6" ht="30" customHeight="1" x14ac:dyDescent="0.25">
      <c r="A291" s="6"/>
      <c r="B291" s="2"/>
      <c r="C291" s="12"/>
      <c r="D291" s="12"/>
      <c r="E291" s="3"/>
      <c r="F291" s="30"/>
    </row>
    <row r="292" spans="1:6" ht="30" customHeight="1" x14ac:dyDescent="0.25">
      <c r="A292" s="6"/>
      <c r="B292" s="2"/>
      <c r="C292" s="12"/>
      <c r="D292" s="12"/>
      <c r="E292" s="3"/>
      <c r="F292" s="30"/>
    </row>
    <row r="293" spans="1:6" ht="30" customHeight="1" x14ac:dyDescent="0.25">
      <c r="A293" s="6"/>
      <c r="B293" s="2"/>
      <c r="C293" s="12"/>
      <c r="D293" s="12"/>
      <c r="E293" s="3"/>
      <c r="F293" s="30"/>
    </row>
    <row r="294" spans="1:6" ht="45" customHeight="1" x14ac:dyDescent="0.25">
      <c r="A294" s="6"/>
      <c r="B294" s="2"/>
      <c r="C294" s="12"/>
      <c r="D294" s="12"/>
      <c r="E294" s="3"/>
      <c r="F294" s="30"/>
    </row>
    <row r="295" spans="1:6" ht="30" customHeight="1" x14ac:dyDescent="0.25">
      <c r="A295" s="6"/>
      <c r="B295" s="2"/>
      <c r="C295" s="12"/>
      <c r="D295" s="12"/>
      <c r="E295" s="3"/>
      <c r="F295" s="30"/>
    </row>
    <row r="296" spans="1:6" ht="15" customHeight="1" x14ac:dyDescent="0.25">
      <c r="A296" s="7"/>
      <c r="B296" s="2"/>
      <c r="C296" s="12"/>
      <c r="D296" s="12"/>
      <c r="E296" s="3"/>
      <c r="F296" s="31"/>
    </row>
    <row r="298" spans="1:6" ht="15" customHeight="1" x14ac:dyDescent="0.25">
      <c r="A298" s="8" t="s">
        <v>0</v>
      </c>
      <c r="B298" s="2">
        <f>'Abstracts List'!A15</f>
        <v>44</v>
      </c>
      <c r="C298" s="1"/>
      <c r="D298" s="3"/>
      <c r="E298" s="3"/>
      <c r="F298" s="3"/>
    </row>
    <row r="299" spans="1:6" ht="15" customHeight="1" x14ac:dyDescent="0.25">
      <c r="A299" s="8" t="s">
        <v>1</v>
      </c>
      <c r="B299" s="2" t="str">
        <f>'Abstracts List'!B15</f>
        <v>Hierarchical Control Strategy for Effective Virtual Frequency Responses of Multiple WPPs</v>
      </c>
      <c r="C299" s="1"/>
      <c r="D299" s="3"/>
      <c r="E299" s="4"/>
      <c r="F299" s="3"/>
    </row>
    <row r="300" spans="1:6" ht="207.75" customHeight="1" x14ac:dyDescent="0.25">
      <c r="A300" s="9" t="s">
        <v>3</v>
      </c>
      <c r="B300" s="2" t="str">
        <f>'Abstracts List'!C15</f>
        <v>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v>
      </c>
      <c r="C300" s="1"/>
      <c r="D300" s="3"/>
      <c r="E300" s="5"/>
      <c r="F300" s="3"/>
    </row>
    <row r="301" spans="1:6" ht="15" customHeight="1" x14ac:dyDescent="0.25">
      <c r="A301" s="8" t="s">
        <v>5</v>
      </c>
      <c r="B301" s="11" t="s">
        <v>6</v>
      </c>
      <c r="C301" s="8" t="s">
        <v>7</v>
      </c>
      <c r="D301" s="8" t="s">
        <v>8</v>
      </c>
      <c r="E301" s="3"/>
      <c r="F301" s="29" t="s">
        <v>9</v>
      </c>
    </row>
    <row r="302" spans="1:6" ht="45" customHeight="1" x14ac:dyDescent="0.25">
      <c r="A302" s="10" t="s">
        <v>10</v>
      </c>
      <c r="B302" s="2" t="e" cm="1">
        <f t="array" aca="1" ref="B302" ca="1">INDIRECT(B301)</f>
        <v>#REF!</v>
      </c>
      <c r="C302" s="12"/>
      <c r="D302" s="12"/>
      <c r="E302" s="3"/>
      <c r="F302" s="30"/>
    </row>
    <row r="303" spans="1:6" ht="15" customHeight="1" x14ac:dyDescent="0.25">
      <c r="A303" s="6"/>
      <c r="B303" s="2"/>
      <c r="C303" s="12"/>
      <c r="D303" s="12"/>
      <c r="E303" s="3"/>
      <c r="F303" s="30"/>
    </row>
    <row r="304" spans="1:6" ht="15" customHeight="1" x14ac:dyDescent="0.25">
      <c r="A304" s="6"/>
      <c r="B304" s="2"/>
      <c r="C304" s="12"/>
      <c r="D304" s="12"/>
      <c r="E304" s="3"/>
      <c r="F304" s="30"/>
    </row>
    <row r="305" spans="1:6" ht="15" customHeight="1" x14ac:dyDescent="0.25">
      <c r="A305" s="6"/>
      <c r="B305" s="2"/>
      <c r="C305" s="12"/>
      <c r="D305" s="12"/>
      <c r="E305" s="3"/>
      <c r="F305" s="30"/>
    </row>
    <row r="306" spans="1:6" ht="15" customHeight="1" x14ac:dyDescent="0.25">
      <c r="A306" s="6"/>
      <c r="B306" s="2"/>
      <c r="C306" s="12"/>
      <c r="D306" s="12"/>
      <c r="E306" s="3"/>
      <c r="F306" s="30"/>
    </row>
    <row r="307" spans="1:6" ht="15" customHeight="1" x14ac:dyDescent="0.25">
      <c r="A307" s="6"/>
      <c r="B307" s="2"/>
      <c r="C307" s="12"/>
      <c r="D307" s="12"/>
      <c r="E307" s="3"/>
      <c r="F307" s="30"/>
    </row>
    <row r="308" spans="1:6" ht="15" customHeight="1" x14ac:dyDescent="0.25">
      <c r="A308" s="6"/>
      <c r="B308" s="2"/>
      <c r="C308" s="12"/>
      <c r="D308" s="12"/>
      <c r="E308" s="3"/>
      <c r="F308" s="30"/>
    </row>
    <row r="309" spans="1:6" ht="15" customHeight="1" x14ac:dyDescent="0.25">
      <c r="A309" s="6"/>
      <c r="B309" s="2"/>
      <c r="C309" s="12"/>
      <c r="D309" s="12"/>
      <c r="E309" s="3"/>
      <c r="F309" s="30"/>
    </row>
    <row r="310" spans="1:6" ht="15" customHeight="1" x14ac:dyDescent="0.25">
      <c r="A310" s="6"/>
      <c r="B310" s="2"/>
      <c r="C310" s="12"/>
      <c r="D310" s="12"/>
      <c r="E310" s="3"/>
      <c r="F310" s="30"/>
    </row>
    <row r="311" spans="1:6" ht="15" customHeight="1" x14ac:dyDescent="0.25">
      <c r="A311" s="6"/>
      <c r="B311" s="2"/>
      <c r="C311" s="12"/>
      <c r="D311" s="12"/>
      <c r="E311" s="3"/>
      <c r="F311" s="30"/>
    </row>
    <row r="312" spans="1:6" ht="15" customHeight="1" x14ac:dyDescent="0.25">
      <c r="A312" s="6"/>
      <c r="B312" s="2"/>
      <c r="C312" s="12"/>
      <c r="D312" s="12"/>
      <c r="E312" s="3"/>
      <c r="F312" s="30"/>
    </row>
    <row r="313" spans="1:6" ht="15" customHeight="1" x14ac:dyDescent="0.25">
      <c r="A313" s="6"/>
      <c r="B313" s="2"/>
      <c r="C313" s="12"/>
      <c r="D313" s="12"/>
      <c r="E313" s="3"/>
      <c r="F313" s="30"/>
    </row>
    <row r="314" spans="1:6" ht="15" customHeight="1" x14ac:dyDescent="0.25">
      <c r="A314" s="6"/>
      <c r="B314" s="2"/>
      <c r="C314" s="12"/>
      <c r="D314" s="12"/>
      <c r="E314" s="3"/>
      <c r="F314" s="30"/>
    </row>
    <row r="315" spans="1:6" ht="30" customHeight="1" x14ac:dyDescent="0.25">
      <c r="A315" s="6"/>
      <c r="B315" s="2"/>
      <c r="C315" s="12"/>
      <c r="D315" s="12"/>
      <c r="E315" s="3"/>
      <c r="F315" s="30"/>
    </row>
    <row r="316" spans="1:6" ht="15" customHeight="1" x14ac:dyDescent="0.25">
      <c r="A316" s="6"/>
      <c r="B316" s="2"/>
      <c r="C316" s="12"/>
      <c r="D316" s="12"/>
      <c r="E316" s="3"/>
      <c r="F316" s="30"/>
    </row>
    <row r="317" spans="1:6" ht="45" customHeight="1" x14ac:dyDescent="0.25">
      <c r="A317" s="6"/>
      <c r="B317" s="2"/>
      <c r="C317" s="12"/>
      <c r="D317" s="12"/>
      <c r="E317" s="3"/>
      <c r="F317" s="30"/>
    </row>
    <row r="318" spans="1:6" ht="30" customHeight="1" x14ac:dyDescent="0.25">
      <c r="A318" s="6"/>
      <c r="B318" s="2"/>
      <c r="C318" s="12"/>
      <c r="D318" s="12"/>
      <c r="E318" s="3"/>
      <c r="F318" s="30"/>
    </row>
    <row r="319" spans="1:6" ht="30" customHeight="1" x14ac:dyDescent="0.25">
      <c r="A319" s="6"/>
      <c r="B319" s="2"/>
      <c r="C319" s="12"/>
      <c r="D319" s="12"/>
      <c r="E319" s="3"/>
      <c r="F319" s="30"/>
    </row>
    <row r="320" spans="1:6" ht="30" customHeight="1" x14ac:dyDescent="0.25">
      <c r="A320" s="6"/>
      <c r="B320" s="2"/>
      <c r="C320" s="12"/>
      <c r="D320" s="12"/>
      <c r="E320" s="3"/>
      <c r="F320" s="30"/>
    </row>
    <row r="321" spans="1:6" ht="45" customHeight="1" x14ac:dyDescent="0.25">
      <c r="A321" s="6"/>
      <c r="B321" s="2"/>
      <c r="C321" s="12"/>
      <c r="D321" s="12"/>
      <c r="E321" s="3"/>
      <c r="F321" s="30"/>
    </row>
    <row r="322" spans="1:6" ht="30" customHeight="1" x14ac:dyDescent="0.25">
      <c r="A322" s="6"/>
      <c r="B322" s="2"/>
      <c r="C322" s="12"/>
      <c r="D322" s="12"/>
      <c r="E322" s="3"/>
      <c r="F322" s="30"/>
    </row>
    <row r="323" spans="1:6" ht="15" customHeight="1" x14ac:dyDescent="0.25">
      <c r="A323" s="7"/>
      <c r="B323" s="2"/>
      <c r="C323" s="12"/>
      <c r="D323" s="12"/>
      <c r="E323" s="3"/>
      <c r="F323" s="31"/>
    </row>
    <row r="325" spans="1:6" ht="15" customHeight="1" x14ac:dyDescent="0.25">
      <c r="A325" s="8" t="s">
        <v>0</v>
      </c>
      <c r="B325" s="2">
        <f>'Abstracts List'!A16</f>
        <v>185</v>
      </c>
      <c r="C325" s="1"/>
      <c r="D325" s="3"/>
      <c r="E325" s="3"/>
      <c r="F325" s="3"/>
    </row>
    <row r="326" spans="1:6" ht="15" customHeight="1" x14ac:dyDescent="0.25">
      <c r="A326" s="8" t="s">
        <v>1</v>
      </c>
      <c r="B326" s="2" t="str">
        <f>'Abstracts List'!B16</f>
        <v>Practical Methods of Defective Input Feature Correction to Enable Machine Learning in Power Systems</v>
      </c>
      <c r="C326" s="1"/>
      <c r="D326" s="3"/>
      <c r="E326" s="4"/>
      <c r="F326" s="3"/>
    </row>
    <row r="327" spans="1:6" ht="141.75" customHeight="1" x14ac:dyDescent="0.25">
      <c r="A327" s="9" t="s">
        <v>3</v>
      </c>
      <c r="B327" s="2" t="str">
        <f>'Abstracts List'!C16</f>
        <v>In this research work, three practical correction methods are proposed to mitigate the impact of defective input features in power system data measurement for machine learning (ML) applications. A well-trained ML tool may become ineffective due to defective input features, which may originate from measurement issues, such as monitor malfunction, cyberattack, communication failure, or others. It is crucial to correct defective input features to enable ML tools with desirable performances. This letter first introduces the mechanism of three correction methods, i.e., statistical-value-based method, minimal-error-based method, and DNN-based adaptive method. Then, the methods are validated via a deep neural network (DNN) case for power system stability enhancement. Validation results demonstrate that the adaptive method achieves the best performance, enabling the well-trained ML tool with a similar accuracy level to the case of no data defects. Although actual measurements may have various data issues challenging ML applications in power systems, the proposed methods show promise for addressing these challenges.</v>
      </c>
      <c r="C327" s="1"/>
      <c r="D327" s="3"/>
      <c r="E327" s="5"/>
      <c r="F327" s="3"/>
    </row>
    <row r="328" spans="1:6" ht="15" customHeight="1" x14ac:dyDescent="0.25">
      <c r="A328" s="8" t="s">
        <v>5</v>
      </c>
      <c r="B328" s="11" t="s">
        <v>6</v>
      </c>
      <c r="C328" s="8" t="s">
        <v>7</v>
      </c>
      <c r="D328" s="8" t="s">
        <v>8</v>
      </c>
      <c r="E328" s="3"/>
      <c r="F328" s="29" t="s">
        <v>9</v>
      </c>
    </row>
    <row r="329" spans="1:6" ht="45" customHeight="1" x14ac:dyDescent="0.25">
      <c r="A329" s="10" t="s">
        <v>10</v>
      </c>
      <c r="B329" s="2" t="e" cm="1">
        <f t="array" aca="1" ref="B329" ca="1">INDIRECT(B328)</f>
        <v>#REF!</v>
      </c>
      <c r="C329" s="12"/>
      <c r="D329" s="12"/>
      <c r="E329" s="3"/>
      <c r="F329" s="30"/>
    </row>
    <row r="330" spans="1:6" ht="15" customHeight="1" x14ac:dyDescent="0.25">
      <c r="A330" s="6"/>
      <c r="B330" s="2"/>
      <c r="C330" s="12"/>
      <c r="D330" s="12"/>
      <c r="E330" s="3"/>
      <c r="F330" s="30"/>
    </row>
    <row r="331" spans="1:6" ht="15" customHeight="1" x14ac:dyDescent="0.25">
      <c r="A331" s="6"/>
      <c r="B331" s="2"/>
      <c r="C331" s="12"/>
      <c r="D331" s="12"/>
      <c r="E331" s="3"/>
      <c r="F331" s="30"/>
    </row>
    <row r="332" spans="1:6" ht="15" customHeight="1" x14ac:dyDescent="0.25">
      <c r="A332" s="6"/>
      <c r="B332" s="2"/>
      <c r="C332" s="12"/>
      <c r="D332" s="12"/>
      <c r="E332" s="3"/>
      <c r="F332" s="30"/>
    </row>
    <row r="333" spans="1:6" ht="15" customHeight="1" x14ac:dyDescent="0.25">
      <c r="A333" s="6"/>
      <c r="B333" s="2"/>
      <c r="C333" s="12"/>
      <c r="D333" s="12"/>
      <c r="E333" s="3"/>
      <c r="F333" s="30"/>
    </row>
    <row r="334" spans="1:6" ht="15" customHeight="1" x14ac:dyDescent="0.25">
      <c r="A334" s="6"/>
      <c r="B334" s="2"/>
      <c r="C334" s="12"/>
      <c r="D334" s="12"/>
      <c r="E334" s="3"/>
      <c r="F334" s="30"/>
    </row>
    <row r="335" spans="1:6" ht="15" customHeight="1" x14ac:dyDescent="0.25">
      <c r="A335" s="6"/>
      <c r="B335" s="2"/>
      <c r="C335" s="12"/>
      <c r="D335" s="12"/>
      <c r="E335" s="3"/>
      <c r="F335" s="30"/>
    </row>
    <row r="336" spans="1:6" ht="15" customHeight="1" x14ac:dyDescent="0.25">
      <c r="A336" s="6"/>
      <c r="B336" s="2"/>
      <c r="C336" s="12"/>
      <c r="D336" s="12"/>
      <c r="E336" s="3"/>
      <c r="F336" s="30"/>
    </row>
    <row r="337" spans="1:6" ht="15" customHeight="1" x14ac:dyDescent="0.25">
      <c r="A337" s="6"/>
      <c r="B337" s="2"/>
      <c r="C337" s="12"/>
      <c r="D337" s="12"/>
      <c r="E337" s="3"/>
      <c r="F337" s="30"/>
    </row>
    <row r="338" spans="1:6" ht="15" customHeight="1" x14ac:dyDescent="0.25">
      <c r="A338" s="6"/>
      <c r="B338" s="2"/>
      <c r="C338" s="12"/>
      <c r="D338" s="12"/>
      <c r="E338" s="3"/>
      <c r="F338" s="30"/>
    </row>
    <row r="339" spans="1:6" ht="15" customHeight="1" x14ac:dyDescent="0.25">
      <c r="A339" s="6"/>
      <c r="B339" s="2"/>
      <c r="C339" s="12"/>
      <c r="D339" s="12"/>
      <c r="E339" s="3"/>
      <c r="F339" s="30"/>
    </row>
    <row r="340" spans="1:6" ht="15" customHeight="1" x14ac:dyDescent="0.25">
      <c r="A340" s="6"/>
      <c r="B340" s="2"/>
      <c r="C340" s="12"/>
      <c r="D340" s="12"/>
      <c r="E340" s="3"/>
      <c r="F340" s="30"/>
    </row>
    <row r="341" spans="1:6" ht="15" customHeight="1" x14ac:dyDescent="0.25">
      <c r="A341" s="6"/>
      <c r="B341" s="2"/>
      <c r="C341" s="12"/>
      <c r="D341" s="12"/>
      <c r="E341" s="3"/>
      <c r="F341" s="30"/>
    </row>
    <row r="342" spans="1:6" ht="30" customHeight="1" x14ac:dyDescent="0.25">
      <c r="A342" s="6"/>
      <c r="B342" s="2"/>
      <c r="C342" s="12"/>
      <c r="D342" s="12"/>
      <c r="E342" s="3"/>
      <c r="F342" s="30"/>
    </row>
    <row r="343" spans="1:6" ht="15" customHeight="1" x14ac:dyDescent="0.25">
      <c r="A343" s="6"/>
      <c r="B343" s="2"/>
      <c r="C343" s="12"/>
      <c r="D343" s="12"/>
      <c r="E343" s="3"/>
      <c r="F343" s="30"/>
    </row>
    <row r="344" spans="1:6" ht="45" customHeight="1" x14ac:dyDescent="0.25">
      <c r="A344" s="6"/>
      <c r="B344" s="2"/>
      <c r="C344" s="12"/>
      <c r="D344" s="12"/>
      <c r="E344" s="3"/>
      <c r="F344" s="30"/>
    </row>
    <row r="345" spans="1:6" ht="30" customHeight="1" x14ac:dyDescent="0.25">
      <c r="A345" s="6"/>
      <c r="B345" s="2"/>
      <c r="C345" s="12"/>
      <c r="D345" s="12"/>
      <c r="E345" s="3"/>
      <c r="F345" s="30"/>
    </row>
    <row r="346" spans="1:6" ht="30" customHeight="1" x14ac:dyDescent="0.25">
      <c r="A346" s="6"/>
      <c r="B346" s="2"/>
      <c r="C346" s="12"/>
      <c r="D346" s="12"/>
      <c r="E346" s="3"/>
      <c r="F346" s="30"/>
    </row>
    <row r="347" spans="1:6" ht="30" customHeight="1" x14ac:dyDescent="0.25">
      <c r="A347" s="6"/>
      <c r="B347" s="2"/>
      <c r="C347" s="12"/>
      <c r="D347" s="12"/>
      <c r="E347" s="3"/>
      <c r="F347" s="30"/>
    </row>
    <row r="348" spans="1:6" ht="45" customHeight="1" x14ac:dyDescent="0.25">
      <c r="A348" s="6"/>
      <c r="B348" s="2"/>
      <c r="C348" s="12"/>
      <c r="D348" s="12"/>
      <c r="E348" s="3"/>
      <c r="F348" s="30"/>
    </row>
    <row r="349" spans="1:6" ht="30" customHeight="1" x14ac:dyDescent="0.25">
      <c r="A349" s="6"/>
      <c r="B349" s="2"/>
      <c r="C349" s="12"/>
      <c r="D349" s="12"/>
      <c r="E349" s="3"/>
      <c r="F349" s="30"/>
    </row>
    <row r="350" spans="1:6" ht="15" customHeight="1" x14ac:dyDescent="0.25">
      <c r="A350" s="7"/>
      <c r="B350" s="2"/>
      <c r="C350" s="12"/>
      <c r="D350" s="12"/>
      <c r="E350" s="3"/>
      <c r="F350" s="31"/>
    </row>
    <row r="352" spans="1:6" ht="15" customHeight="1" x14ac:dyDescent="0.25">
      <c r="A352" s="8" t="s">
        <v>0</v>
      </c>
      <c r="B352" s="2">
        <f>'Abstracts List'!A17</f>
        <v>174</v>
      </c>
      <c r="C352" s="1"/>
      <c r="D352" s="3"/>
      <c r="E352" s="3"/>
      <c r="F352" s="3"/>
    </row>
    <row r="353" spans="1:6" ht="15" customHeight="1" x14ac:dyDescent="0.25">
      <c r="A353" s="8" t="s">
        <v>1</v>
      </c>
      <c r="B353" s="2" t="str">
        <f>'Abstracts List'!B17</f>
        <v>Chance-Constrained Optimization Based PV Hosting Capacity Calculation Using General Polynomial Chaos</v>
      </c>
      <c r="C353" s="1"/>
      <c r="D353" s="3"/>
      <c r="E353" s="4"/>
      <c r="F353" s="3"/>
    </row>
    <row r="354" spans="1:6" ht="171.75" customHeight="1" x14ac:dyDescent="0.25">
      <c r="A354" s="9" t="s">
        <v>3</v>
      </c>
      <c r="B354" s="2" t="str">
        <f>'Abstracts List'!C17</f>
        <v>Increased penetration of renewable resources and new loads have increased the uncertainty levels in low voltage distribution systems (LVDS). This requires considering LVDS planning, such as computing photovoltaics (PV) hosting capacity (HC), as a stochastic problem. Traditionally, PV HC is computed using the iterative Monte Carlo method, which requires solving the power flow equations thousands of times. This paper proposes a chance-constrained optimization-based hosting capacity calculation technique, which eliminates the necessity of repetitive solving of power flow equations. The intrusive general polynomial chaos expansion is used to translate the input uncertainties defined by their probability density function to the hosting capacity of the network without the necessity of sampling, linearizing the power flow equations, or applying any relaxations. Chance constraints are applied for nodal voltages and thermal overload as per the norms, where the system can be congested for a certain time without affecting the power quality. Numerical illustrations show the computational time to compute the stochastic PV hosting capacity of a real large scale LVDS, and for the majority of the feeders, it falls within 100 sec. Furthermore, the estimated PV HC using this stochastic optimal power flow was, on average, 20% higher than its deterministic counterpart.</v>
      </c>
      <c r="C354" s="1"/>
      <c r="D354" s="3"/>
      <c r="E354" s="5"/>
      <c r="F354" s="3"/>
    </row>
    <row r="355" spans="1:6" ht="15" customHeight="1" x14ac:dyDescent="0.25">
      <c r="A355" s="8" t="s">
        <v>5</v>
      </c>
      <c r="B355" s="11" t="s">
        <v>6</v>
      </c>
      <c r="C355" s="8" t="s">
        <v>7</v>
      </c>
      <c r="D355" s="8" t="s">
        <v>8</v>
      </c>
      <c r="E355" s="3"/>
      <c r="F355" s="29" t="s">
        <v>9</v>
      </c>
    </row>
    <row r="356" spans="1:6" ht="45" customHeight="1" x14ac:dyDescent="0.25">
      <c r="A356" s="10" t="s">
        <v>10</v>
      </c>
      <c r="B356" s="2" t="e" cm="1">
        <f t="array" aca="1" ref="B356" ca="1">INDIRECT(B355)</f>
        <v>#REF!</v>
      </c>
      <c r="C356" s="12"/>
      <c r="D356" s="12"/>
      <c r="E356" s="3"/>
      <c r="F356" s="30"/>
    </row>
    <row r="357" spans="1:6" ht="15" customHeight="1" x14ac:dyDescent="0.25">
      <c r="A357" s="6"/>
      <c r="B357" s="2"/>
      <c r="C357" s="12"/>
      <c r="D357" s="12"/>
      <c r="E357" s="3"/>
      <c r="F357" s="30"/>
    </row>
    <row r="358" spans="1:6" ht="15" customHeight="1" x14ac:dyDescent="0.25">
      <c r="A358" s="6"/>
      <c r="B358" s="2"/>
      <c r="C358" s="12"/>
      <c r="D358" s="12"/>
      <c r="E358" s="3"/>
      <c r="F358" s="30"/>
    </row>
    <row r="359" spans="1:6" ht="15" customHeight="1" x14ac:dyDescent="0.25">
      <c r="A359" s="6"/>
      <c r="B359" s="2"/>
      <c r="C359" s="12"/>
      <c r="D359" s="12"/>
      <c r="E359" s="3"/>
      <c r="F359" s="30"/>
    </row>
    <row r="360" spans="1:6" ht="15" customHeight="1" x14ac:dyDescent="0.25">
      <c r="A360" s="6"/>
      <c r="B360" s="2"/>
      <c r="C360" s="12"/>
      <c r="D360" s="12"/>
      <c r="E360" s="3"/>
      <c r="F360" s="30"/>
    </row>
    <row r="361" spans="1:6" ht="15" customHeight="1" x14ac:dyDescent="0.25">
      <c r="A361" s="6"/>
      <c r="B361" s="2"/>
      <c r="C361" s="12"/>
      <c r="D361" s="12"/>
      <c r="E361" s="3"/>
      <c r="F361" s="30"/>
    </row>
    <row r="362" spans="1:6" ht="15" customHeight="1" x14ac:dyDescent="0.25">
      <c r="A362" s="6"/>
      <c r="B362" s="2"/>
      <c r="C362" s="12"/>
      <c r="D362" s="12"/>
      <c r="E362" s="3"/>
      <c r="F362" s="30"/>
    </row>
    <row r="363" spans="1:6" ht="15" customHeight="1" x14ac:dyDescent="0.25">
      <c r="A363" s="6"/>
      <c r="B363" s="2"/>
      <c r="C363" s="12"/>
      <c r="D363" s="12"/>
      <c r="E363" s="3"/>
      <c r="F363" s="30"/>
    </row>
    <row r="364" spans="1:6" ht="15" customHeight="1" x14ac:dyDescent="0.25">
      <c r="A364" s="6"/>
      <c r="B364" s="2"/>
      <c r="C364" s="12"/>
      <c r="D364" s="12"/>
      <c r="E364" s="3"/>
      <c r="F364" s="30"/>
    </row>
    <row r="365" spans="1:6" ht="15" customHeight="1" x14ac:dyDescent="0.25">
      <c r="A365" s="6"/>
      <c r="B365" s="2"/>
      <c r="C365" s="12"/>
      <c r="D365" s="12"/>
      <c r="E365" s="3"/>
      <c r="F365" s="30"/>
    </row>
    <row r="366" spans="1:6" ht="15" customHeight="1" x14ac:dyDescent="0.25">
      <c r="A366" s="6"/>
      <c r="B366" s="2"/>
      <c r="C366" s="12"/>
      <c r="D366" s="12"/>
      <c r="E366" s="3"/>
      <c r="F366" s="30"/>
    </row>
    <row r="367" spans="1:6" ht="15" customHeight="1" x14ac:dyDescent="0.25">
      <c r="A367" s="6"/>
      <c r="B367" s="2"/>
      <c r="C367" s="12"/>
      <c r="D367" s="12"/>
      <c r="E367" s="3"/>
      <c r="F367" s="30"/>
    </row>
    <row r="368" spans="1:6" ht="15" customHeight="1" x14ac:dyDescent="0.25">
      <c r="A368" s="6"/>
      <c r="B368" s="2"/>
      <c r="C368" s="12"/>
      <c r="D368" s="12"/>
      <c r="E368" s="3"/>
      <c r="F368" s="30"/>
    </row>
    <row r="369" spans="1:6" ht="30" customHeight="1" x14ac:dyDescent="0.25">
      <c r="A369" s="6"/>
      <c r="B369" s="2"/>
      <c r="C369" s="12"/>
      <c r="D369" s="12"/>
      <c r="E369" s="3"/>
      <c r="F369" s="30"/>
    </row>
    <row r="370" spans="1:6" ht="15" customHeight="1" x14ac:dyDescent="0.25">
      <c r="A370" s="6"/>
      <c r="B370" s="2"/>
      <c r="C370" s="12"/>
      <c r="D370" s="12"/>
      <c r="E370" s="3"/>
      <c r="F370" s="30"/>
    </row>
    <row r="371" spans="1:6" ht="45" customHeight="1" x14ac:dyDescent="0.25">
      <c r="A371" s="6"/>
      <c r="B371" s="2"/>
      <c r="C371" s="12"/>
      <c r="D371" s="12"/>
      <c r="E371" s="3"/>
      <c r="F371" s="30"/>
    </row>
    <row r="372" spans="1:6" ht="30" customHeight="1" x14ac:dyDescent="0.25">
      <c r="A372" s="6"/>
      <c r="B372" s="2"/>
      <c r="C372" s="12"/>
      <c r="D372" s="12"/>
      <c r="E372" s="3"/>
      <c r="F372" s="30"/>
    </row>
    <row r="373" spans="1:6" ht="30" customHeight="1" x14ac:dyDescent="0.25">
      <c r="A373" s="6"/>
      <c r="B373" s="2"/>
      <c r="C373" s="12"/>
      <c r="D373" s="12"/>
      <c r="E373" s="3"/>
      <c r="F373" s="30"/>
    </row>
    <row r="374" spans="1:6" ht="30" customHeight="1" x14ac:dyDescent="0.25">
      <c r="A374" s="6"/>
      <c r="B374" s="2"/>
      <c r="C374" s="12"/>
      <c r="D374" s="12"/>
      <c r="E374" s="3"/>
      <c r="F374" s="30"/>
    </row>
    <row r="375" spans="1:6" ht="45" customHeight="1" x14ac:dyDescent="0.25">
      <c r="A375" s="6"/>
      <c r="B375" s="2"/>
      <c r="C375" s="12"/>
      <c r="D375" s="12"/>
      <c r="E375" s="3"/>
      <c r="F375" s="30"/>
    </row>
    <row r="376" spans="1:6" ht="30" customHeight="1" x14ac:dyDescent="0.25">
      <c r="A376" s="6"/>
      <c r="B376" s="2"/>
      <c r="C376" s="12"/>
      <c r="D376" s="12"/>
      <c r="E376" s="3"/>
      <c r="F376" s="30"/>
    </row>
    <row r="377" spans="1:6" ht="15" customHeight="1" x14ac:dyDescent="0.25">
      <c r="A377" s="7"/>
      <c r="B377" s="2"/>
      <c r="C377" s="12"/>
      <c r="D377" s="12"/>
      <c r="E377" s="3"/>
      <c r="F377" s="31"/>
    </row>
    <row r="379" spans="1:6" ht="15" customHeight="1" x14ac:dyDescent="0.25">
      <c r="A379" s="8" t="s">
        <v>0</v>
      </c>
      <c r="B379" s="2">
        <f>'Abstracts List'!A18</f>
        <v>194</v>
      </c>
      <c r="C379" s="1"/>
      <c r="D379" s="3"/>
      <c r="E379" s="3"/>
      <c r="F379" s="3"/>
    </row>
    <row r="380" spans="1:6" ht="15" customHeight="1" x14ac:dyDescent="0.25">
      <c r="A380" s="8" t="s">
        <v>1</v>
      </c>
      <c r="B380" s="2" t="str">
        <f>'Abstracts List'!B18</f>
        <v>Analysis of Long-Term Indicators in the British Balancing Market</v>
      </c>
      <c r="C380" s="1"/>
      <c r="D380" s="3"/>
      <c r="E380" s="4"/>
      <c r="F380" s="3"/>
    </row>
    <row r="381" spans="1:6" ht="186.75" customHeight="1" x14ac:dyDescent="0.25">
      <c r="A381" s="9" t="s">
        <v>3</v>
      </c>
      <c r="B381" s="2" t="str">
        <f>'Abstracts List'!C18</f>
        <v>Proactive participation of uncertain renewable generation in the day-ahead (DA) wholesale market effectively reduces the system marginal price and carbon emissions, whilst significantly increasing the volumes of real-time balancing mechanism prices to ensure system security and stability. To solve the conflicting interests over the two timescales, this article: 1) proposes a novel hierarchical optimization model to align with the actual operation paradigms of the hierarchical market, whereby the capacity allocation matrix is adopted to coordinate the DA and balancing markets; 2) mathematically formulates and quantitatively analyses the long-term driving factors of balancing actions, enabling system operators (SOs) to design efficient and well-functioning market structures to meet economic and environmental targets; 3) empowers renewable generating units and flexible loads to participate in the balancing market (BM) as Ã¢â‚¬ËœactiveÃ¢â‚¬â„¢ actors and enforces the non-discriminatory provision of balancing services. The performance of the proposed model is validated on a modified IEEE 39-bus power system and a reduced GB network. Results reveal that with effective resource allocation in different timescales of the hierarchical market, the drop speed of balancing costs soars while the intermittent generation climbs. The proposed methodology enables SOs to make the most of all resources available in the market and balance the system flexibly and economically. It thus safeguards the climate mitigation pathways against the risks of substantially higher balancing costs.</v>
      </c>
      <c r="C381" s="1"/>
      <c r="D381" s="3"/>
      <c r="E381" s="5"/>
      <c r="F381" s="3"/>
    </row>
    <row r="382" spans="1:6" ht="15" customHeight="1" x14ac:dyDescent="0.25">
      <c r="A382" s="8" t="s">
        <v>5</v>
      </c>
      <c r="B382" s="11" t="s">
        <v>6</v>
      </c>
      <c r="C382" s="8" t="s">
        <v>7</v>
      </c>
      <c r="D382" s="8" t="s">
        <v>8</v>
      </c>
      <c r="E382" s="3"/>
      <c r="F382" s="29" t="s">
        <v>9</v>
      </c>
    </row>
    <row r="383" spans="1:6" ht="45" customHeight="1" x14ac:dyDescent="0.25">
      <c r="A383" s="10" t="s">
        <v>10</v>
      </c>
      <c r="B383" s="2" t="e" cm="1">
        <f t="array" aca="1" ref="B383" ca="1">INDIRECT(B382)</f>
        <v>#REF!</v>
      </c>
      <c r="C383" s="12"/>
      <c r="D383" s="12"/>
      <c r="E383" s="3"/>
      <c r="F383" s="30"/>
    </row>
    <row r="384" spans="1:6" ht="15" customHeight="1" x14ac:dyDescent="0.25">
      <c r="A384" s="6"/>
      <c r="B384" s="2"/>
      <c r="C384" s="12"/>
      <c r="D384" s="12"/>
      <c r="E384" s="3"/>
      <c r="F384" s="30"/>
    </row>
    <row r="385" spans="1:6" ht="15" customHeight="1" x14ac:dyDescent="0.25">
      <c r="A385" s="6"/>
      <c r="B385" s="2"/>
      <c r="C385" s="12"/>
      <c r="D385" s="12"/>
      <c r="E385" s="3"/>
      <c r="F385" s="30"/>
    </row>
    <row r="386" spans="1:6" ht="15" customHeight="1" x14ac:dyDescent="0.25">
      <c r="A386" s="6"/>
      <c r="B386" s="2"/>
      <c r="C386" s="12"/>
      <c r="D386" s="12"/>
      <c r="E386" s="3"/>
      <c r="F386" s="30"/>
    </row>
    <row r="387" spans="1:6" ht="15" customHeight="1" x14ac:dyDescent="0.25">
      <c r="A387" s="6"/>
      <c r="B387" s="2"/>
      <c r="C387" s="12"/>
      <c r="D387" s="12"/>
      <c r="E387" s="3"/>
      <c r="F387" s="30"/>
    </row>
    <row r="388" spans="1:6" ht="15" customHeight="1" x14ac:dyDescent="0.25">
      <c r="A388" s="6"/>
      <c r="B388" s="2"/>
      <c r="C388" s="12"/>
      <c r="D388" s="12"/>
      <c r="E388" s="3"/>
      <c r="F388" s="30"/>
    </row>
    <row r="389" spans="1:6" ht="15" customHeight="1" x14ac:dyDescent="0.25">
      <c r="A389" s="6"/>
      <c r="B389" s="2"/>
      <c r="C389" s="12"/>
      <c r="D389" s="12"/>
      <c r="E389" s="3"/>
      <c r="F389" s="30"/>
    </row>
    <row r="390" spans="1:6" ht="15" customHeight="1" x14ac:dyDescent="0.25">
      <c r="A390" s="6"/>
      <c r="B390" s="2"/>
      <c r="C390" s="12"/>
      <c r="D390" s="12"/>
      <c r="E390" s="3"/>
      <c r="F390" s="30"/>
    </row>
    <row r="391" spans="1:6" ht="15" customHeight="1" x14ac:dyDescent="0.25">
      <c r="A391" s="6"/>
      <c r="B391" s="2"/>
      <c r="C391" s="12"/>
      <c r="D391" s="12"/>
      <c r="E391" s="3"/>
      <c r="F391" s="30"/>
    </row>
    <row r="392" spans="1:6" ht="15" customHeight="1" x14ac:dyDescent="0.25">
      <c r="A392" s="6"/>
      <c r="B392" s="2"/>
      <c r="C392" s="12"/>
      <c r="D392" s="12"/>
      <c r="E392" s="3"/>
      <c r="F392" s="30"/>
    </row>
    <row r="393" spans="1:6" ht="15" customHeight="1" x14ac:dyDescent="0.25">
      <c r="A393" s="6"/>
      <c r="B393" s="2"/>
      <c r="C393" s="12"/>
      <c r="D393" s="12"/>
      <c r="E393" s="3"/>
      <c r="F393" s="30"/>
    </row>
    <row r="394" spans="1:6" ht="15" customHeight="1" x14ac:dyDescent="0.25">
      <c r="A394" s="6"/>
      <c r="B394" s="2"/>
      <c r="C394" s="12"/>
      <c r="D394" s="12"/>
      <c r="E394" s="3"/>
      <c r="F394" s="30"/>
    </row>
    <row r="395" spans="1:6" ht="15" customHeight="1" x14ac:dyDescent="0.25">
      <c r="A395" s="6"/>
      <c r="B395" s="2"/>
      <c r="C395" s="12"/>
      <c r="D395" s="12"/>
      <c r="E395" s="3"/>
      <c r="F395" s="30"/>
    </row>
    <row r="396" spans="1:6" ht="30" customHeight="1" x14ac:dyDescent="0.25">
      <c r="A396" s="6"/>
      <c r="B396" s="2"/>
      <c r="C396" s="12"/>
      <c r="D396" s="12"/>
      <c r="E396" s="3"/>
      <c r="F396" s="30"/>
    </row>
    <row r="397" spans="1:6" ht="15" customHeight="1" x14ac:dyDescent="0.25">
      <c r="A397" s="6"/>
      <c r="B397" s="2"/>
      <c r="C397" s="12"/>
      <c r="D397" s="12"/>
      <c r="E397" s="3"/>
      <c r="F397" s="30"/>
    </row>
    <row r="398" spans="1:6" ht="45" customHeight="1" x14ac:dyDescent="0.25">
      <c r="A398" s="6"/>
      <c r="B398" s="2"/>
      <c r="C398" s="12"/>
      <c r="D398" s="12"/>
      <c r="E398" s="3"/>
      <c r="F398" s="30"/>
    </row>
    <row r="399" spans="1:6" ht="30" customHeight="1" x14ac:dyDescent="0.25">
      <c r="A399" s="6"/>
      <c r="B399" s="2"/>
      <c r="C399" s="12"/>
      <c r="D399" s="12"/>
      <c r="E399" s="3"/>
      <c r="F399" s="30"/>
    </row>
    <row r="400" spans="1:6" ht="30" customHeight="1" x14ac:dyDescent="0.25">
      <c r="A400" s="6"/>
      <c r="B400" s="2"/>
      <c r="C400" s="12"/>
      <c r="D400" s="12"/>
      <c r="E400" s="3"/>
      <c r="F400" s="30"/>
    </row>
    <row r="401" spans="1:6" ht="30" customHeight="1" x14ac:dyDescent="0.25">
      <c r="A401" s="6"/>
      <c r="B401" s="2"/>
      <c r="C401" s="12"/>
      <c r="D401" s="12"/>
      <c r="E401" s="3"/>
      <c r="F401" s="30"/>
    </row>
    <row r="402" spans="1:6" ht="45" customHeight="1" x14ac:dyDescent="0.25">
      <c r="A402" s="6"/>
      <c r="B402" s="2"/>
      <c r="C402" s="12"/>
      <c r="D402" s="12"/>
      <c r="E402" s="3"/>
      <c r="F402" s="30"/>
    </row>
    <row r="403" spans="1:6" ht="30" customHeight="1" x14ac:dyDescent="0.25">
      <c r="A403" s="6"/>
      <c r="B403" s="2"/>
      <c r="C403" s="12"/>
      <c r="D403" s="12"/>
      <c r="E403" s="3"/>
      <c r="F403" s="30"/>
    </row>
    <row r="404" spans="1:6" ht="15" customHeight="1" x14ac:dyDescent="0.25">
      <c r="A404" s="7"/>
      <c r="B404" s="2"/>
      <c r="C404" s="12"/>
      <c r="D404" s="12"/>
      <c r="E404" s="3"/>
      <c r="F404" s="31"/>
    </row>
    <row r="406" spans="1:6" ht="15" customHeight="1" x14ac:dyDescent="0.25">
      <c r="A406" s="8" t="s">
        <v>0</v>
      </c>
      <c r="B406" s="2">
        <f>'Abstracts List'!A20</f>
        <v>212</v>
      </c>
      <c r="C406" s="1"/>
      <c r="D406" s="3"/>
      <c r="E406" s="3"/>
      <c r="F406" s="3"/>
    </row>
    <row r="407" spans="1:6" ht="15" customHeight="1" x14ac:dyDescent="0.25">
      <c r="A407" s="8" t="s">
        <v>1</v>
      </c>
      <c r="B407" s="2" t="str">
        <f>'Abstracts List'!B20</f>
        <v>Comparative Analysis of the Power Output Capabilities of Grid-Following and Grid-Forming Inverters Considering Static, Dynamic, and Thermal Limitations</v>
      </c>
      <c r="C407" s="1"/>
      <c r="D407" s="3"/>
      <c r="E407" s="4"/>
      <c r="F407" s="3"/>
    </row>
    <row r="408" spans="1:6" ht="183.75" customHeight="1" x14ac:dyDescent="0.25">
      <c r="A408" s="9" t="s">
        <v>3</v>
      </c>
      <c r="B408" s="2" t="str">
        <f>'Abstracts List'!C20</f>
        <v>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v>
      </c>
      <c r="C408" s="1"/>
      <c r="D408" s="3"/>
      <c r="E408" s="5"/>
      <c r="F408" s="3"/>
    </row>
    <row r="409" spans="1:6" ht="15" customHeight="1" x14ac:dyDescent="0.25">
      <c r="A409" s="8" t="s">
        <v>5</v>
      </c>
      <c r="B409" s="11" t="s">
        <v>6</v>
      </c>
      <c r="C409" s="8" t="s">
        <v>7</v>
      </c>
      <c r="D409" s="8" t="s">
        <v>8</v>
      </c>
      <c r="E409" s="3"/>
      <c r="F409" s="29" t="s">
        <v>9</v>
      </c>
    </row>
    <row r="410" spans="1:6" ht="45" customHeight="1" x14ac:dyDescent="0.25">
      <c r="A410" s="10" t="s">
        <v>10</v>
      </c>
      <c r="B410" s="2" t="e" cm="1">
        <f t="array" aca="1" ref="B410" ca="1">INDIRECT(B409)</f>
        <v>#REF!</v>
      </c>
      <c r="C410" s="12"/>
      <c r="D410" s="12"/>
      <c r="E410" s="3"/>
      <c r="F410" s="30"/>
    </row>
    <row r="411" spans="1:6" ht="15" customHeight="1" x14ac:dyDescent="0.25">
      <c r="A411" s="6"/>
      <c r="B411" s="2"/>
      <c r="C411" s="12"/>
      <c r="D411" s="12"/>
      <c r="E411" s="3"/>
      <c r="F411" s="30"/>
    </row>
    <row r="412" spans="1:6" ht="15" customHeight="1" x14ac:dyDescent="0.25">
      <c r="A412" s="6"/>
      <c r="B412" s="2"/>
      <c r="C412" s="12"/>
      <c r="D412" s="12"/>
      <c r="E412" s="3"/>
      <c r="F412" s="30"/>
    </row>
    <row r="413" spans="1:6" ht="15" customHeight="1" x14ac:dyDescent="0.25">
      <c r="A413" s="6"/>
      <c r="B413" s="2"/>
      <c r="C413" s="12"/>
      <c r="D413" s="12"/>
      <c r="E413" s="3"/>
      <c r="F413" s="30"/>
    </row>
    <row r="414" spans="1:6" ht="15" customHeight="1" x14ac:dyDescent="0.25">
      <c r="A414" s="6"/>
      <c r="B414" s="2"/>
      <c r="C414" s="12"/>
      <c r="D414" s="12"/>
      <c r="E414" s="3"/>
      <c r="F414" s="30"/>
    </row>
    <row r="415" spans="1:6" ht="15" customHeight="1" x14ac:dyDescent="0.25">
      <c r="A415" s="6"/>
      <c r="B415" s="2"/>
      <c r="C415" s="12"/>
      <c r="D415" s="12"/>
      <c r="E415" s="3"/>
      <c r="F415" s="30"/>
    </row>
    <row r="416" spans="1:6" ht="15" customHeight="1" x14ac:dyDescent="0.25">
      <c r="A416" s="6"/>
      <c r="B416" s="2"/>
      <c r="C416" s="12"/>
      <c r="D416" s="12"/>
      <c r="E416" s="3"/>
      <c r="F416" s="30"/>
    </row>
    <row r="417" spans="1:6" ht="15" customHeight="1" x14ac:dyDescent="0.25">
      <c r="A417" s="6"/>
      <c r="B417" s="2"/>
      <c r="C417" s="12"/>
      <c r="D417" s="12"/>
      <c r="E417" s="3"/>
      <c r="F417" s="30"/>
    </row>
    <row r="418" spans="1:6" ht="15" customHeight="1" x14ac:dyDescent="0.25">
      <c r="A418" s="6"/>
      <c r="B418" s="2"/>
      <c r="C418" s="12"/>
      <c r="D418" s="12"/>
      <c r="E418" s="3"/>
      <c r="F418" s="30"/>
    </row>
    <row r="419" spans="1:6" ht="15" customHeight="1" x14ac:dyDescent="0.25">
      <c r="A419" s="6"/>
      <c r="B419" s="2"/>
      <c r="C419" s="12"/>
      <c r="D419" s="12"/>
      <c r="E419" s="3"/>
      <c r="F419" s="30"/>
    </row>
    <row r="420" spans="1:6" ht="15" customHeight="1" x14ac:dyDescent="0.25">
      <c r="A420" s="6"/>
      <c r="B420" s="2"/>
      <c r="C420" s="12"/>
      <c r="D420" s="12"/>
      <c r="E420" s="3"/>
      <c r="F420" s="30"/>
    </row>
    <row r="421" spans="1:6" ht="15" customHeight="1" x14ac:dyDescent="0.25">
      <c r="A421" s="6"/>
      <c r="B421" s="2"/>
      <c r="C421" s="12"/>
      <c r="D421" s="12"/>
      <c r="E421" s="3"/>
      <c r="F421" s="30"/>
    </row>
    <row r="422" spans="1:6" ht="15" customHeight="1" x14ac:dyDescent="0.25">
      <c r="A422" s="6"/>
      <c r="B422" s="2"/>
      <c r="C422" s="12"/>
      <c r="D422" s="12"/>
      <c r="E422" s="3"/>
      <c r="F422" s="30"/>
    </row>
    <row r="423" spans="1:6" ht="30" customHeight="1" x14ac:dyDescent="0.25">
      <c r="A423" s="6"/>
      <c r="B423" s="2"/>
      <c r="C423" s="12"/>
      <c r="D423" s="12"/>
      <c r="E423" s="3"/>
      <c r="F423" s="30"/>
    </row>
    <row r="424" spans="1:6" ht="15" customHeight="1" x14ac:dyDescent="0.25">
      <c r="A424" s="6"/>
      <c r="B424" s="2"/>
      <c r="C424" s="12"/>
      <c r="D424" s="12"/>
      <c r="E424" s="3"/>
      <c r="F424" s="30"/>
    </row>
    <row r="425" spans="1:6" ht="45" customHeight="1" x14ac:dyDescent="0.25">
      <c r="A425" s="6"/>
      <c r="B425" s="2"/>
      <c r="C425" s="12"/>
      <c r="D425" s="12"/>
      <c r="E425" s="3"/>
      <c r="F425" s="30"/>
    </row>
    <row r="426" spans="1:6" ht="30" customHeight="1" x14ac:dyDescent="0.25">
      <c r="A426" s="6"/>
      <c r="B426" s="2"/>
      <c r="C426" s="12"/>
      <c r="D426" s="12"/>
      <c r="E426" s="3"/>
      <c r="F426" s="30"/>
    </row>
    <row r="427" spans="1:6" ht="30" customHeight="1" x14ac:dyDescent="0.25">
      <c r="A427" s="6"/>
      <c r="B427" s="2"/>
      <c r="C427" s="12"/>
      <c r="D427" s="12"/>
      <c r="E427" s="3"/>
      <c r="F427" s="30"/>
    </row>
    <row r="428" spans="1:6" ht="30" customHeight="1" x14ac:dyDescent="0.25">
      <c r="A428" s="6"/>
      <c r="B428" s="2"/>
      <c r="C428" s="12"/>
      <c r="D428" s="12"/>
      <c r="E428" s="3"/>
      <c r="F428" s="30"/>
    </row>
    <row r="429" spans="1:6" ht="45" customHeight="1" x14ac:dyDescent="0.25">
      <c r="A429" s="6"/>
      <c r="B429" s="2"/>
      <c r="C429" s="12"/>
      <c r="D429" s="12"/>
      <c r="E429" s="3"/>
      <c r="F429" s="30"/>
    </row>
    <row r="430" spans="1:6" ht="30" customHeight="1" x14ac:dyDescent="0.25">
      <c r="A430" s="6"/>
      <c r="B430" s="2"/>
      <c r="C430" s="12"/>
      <c r="D430" s="12"/>
      <c r="E430" s="3"/>
      <c r="F430" s="30"/>
    </row>
    <row r="431" spans="1:6" ht="15" customHeight="1" x14ac:dyDescent="0.25">
      <c r="A431" s="7"/>
      <c r="B431" s="2"/>
      <c r="C431" s="12"/>
      <c r="D431" s="12"/>
      <c r="E431" s="3"/>
      <c r="F431" s="31"/>
    </row>
    <row r="433" spans="1:6" ht="15" customHeight="1" x14ac:dyDescent="0.25">
      <c r="A433" s="8" t="s">
        <v>0</v>
      </c>
      <c r="B433" s="2">
        <f>'Abstracts List'!A21</f>
        <v>15</v>
      </c>
      <c r="C433" s="1"/>
      <c r="D433" s="3"/>
      <c r="E433" s="3"/>
      <c r="F433" s="3"/>
    </row>
    <row r="434" spans="1:6" ht="15" customHeight="1" x14ac:dyDescent="0.25">
      <c r="A434" s="8" t="s">
        <v>1</v>
      </c>
      <c r="B434" s="2" t="str">
        <f>'Abstracts List'!B21</f>
        <v>Look-Ahead Rolling Economic Dispatch Approach for Wind-Thermal-Bundled Power System Considering Dynamic Ramping and Flexible Load Transfer Strategy</v>
      </c>
      <c r="C434" s="1"/>
      <c r="D434" s="3"/>
      <c r="E434" s="4"/>
      <c r="F434" s="3"/>
    </row>
    <row r="435" spans="1:6" ht="192.75" customHeight="1" x14ac:dyDescent="0.25">
      <c r="A435" s="9" t="s">
        <v>3</v>
      </c>
      <c r="B435" s="2" t="str">
        <f>'Abstracts List'!C21</f>
        <v>With a wind-thermal-bundled power system (WTBPS) under high wind penetration levels, the sharp power fluctuations of tie-lines for interconnected grids trigger a significant challenge of security-constrained power system operation. Smoothing power fluctuations with economic dispatch is widely concerned against this challenge. In this paper, an appropriate look-ahead economic dispatch framework for WTBPS considering the variable ramp rate of retrofitted coal-fired units and the flexible load transfer strategy (LTS) in high voltage distribution networks (HVDNs) is proposed. To cope with this issue, i) we derive a new family of tightened ramping constraints of retrofitted coal-fired units in the linear and second-order conic (SOC) forms, respectively. ii) Using graph characterization of typical HVDNs, the simplified voltage-constrained LTS via topological structures can be developed. This proposed look-ahead economic dispatch model is cast as a mixed-integer second-order cone programming (MISOCP) problem, which can be reformulated by Multi-cut Generalized Benders Decomposition (MGBD). This MGBD enables multiple sub-problems can be solved in parallel and accelerates the solving process. Finally, simulation results of a large-scale practical system validate the computational accuracy and efficiency of the proposed approach.</v>
      </c>
      <c r="C435" s="1"/>
      <c r="D435" s="3"/>
      <c r="E435" s="5"/>
      <c r="F435" s="3"/>
    </row>
    <row r="436" spans="1:6" ht="15" customHeight="1" x14ac:dyDescent="0.25">
      <c r="A436" s="8" t="s">
        <v>5</v>
      </c>
      <c r="B436" s="11" t="s">
        <v>6</v>
      </c>
      <c r="C436" s="8" t="s">
        <v>7</v>
      </c>
      <c r="D436" s="8" t="s">
        <v>8</v>
      </c>
      <c r="E436" s="3"/>
      <c r="F436" s="29" t="s">
        <v>9</v>
      </c>
    </row>
    <row r="437" spans="1:6" ht="45" customHeight="1" x14ac:dyDescent="0.25">
      <c r="A437" s="10" t="s">
        <v>10</v>
      </c>
      <c r="B437" s="2" t="e" cm="1">
        <f t="array" aca="1" ref="B437" ca="1">INDIRECT(B436)</f>
        <v>#REF!</v>
      </c>
      <c r="C437" s="12"/>
      <c r="D437" s="12"/>
      <c r="E437" s="3"/>
      <c r="F437" s="30"/>
    </row>
    <row r="438" spans="1:6" ht="15" customHeight="1" x14ac:dyDescent="0.25">
      <c r="A438" s="6"/>
      <c r="B438" s="2"/>
      <c r="C438" s="12"/>
      <c r="D438" s="12"/>
      <c r="E438" s="3"/>
      <c r="F438" s="30"/>
    </row>
    <row r="439" spans="1:6" ht="15" customHeight="1" x14ac:dyDescent="0.25">
      <c r="A439" s="6"/>
      <c r="B439" s="2"/>
      <c r="C439" s="12"/>
      <c r="D439" s="12"/>
      <c r="E439" s="3"/>
      <c r="F439" s="30"/>
    </row>
    <row r="440" spans="1:6" ht="15" customHeight="1" x14ac:dyDescent="0.25">
      <c r="A440" s="6"/>
      <c r="B440" s="2"/>
      <c r="C440" s="12"/>
      <c r="D440" s="12"/>
      <c r="E440" s="3"/>
      <c r="F440" s="30"/>
    </row>
    <row r="441" spans="1:6" ht="15" customHeight="1" x14ac:dyDescent="0.25">
      <c r="A441" s="6"/>
      <c r="B441" s="2"/>
      <c r="C441" s="12"/>
      <c r="D441" s="12"/>
      <c r="E441" s="3"/>
      <c r="F441" s="30"/>
    </row>
    <row r="442" spans="1:6" ht="15" customHeight="1" x14ac:dyDescent="0.25">
      <c r="A442" s="6"/>
      <c r="B442" s="2"/>
      <c r="C442" s="12"/>
      <c r="D442" s="12"/>
      <c r="E442" s="3"/>
      <c r="F442" s="30"/>
    </row>
    <row r="443" spans="1:6" ht="15" customHeight="1" x14ac:dyDescent="0.25">
      <c r="A443" s="6"/>
      <c r="B443" s="2"/>
      <c r="C443" s="12"/>
      <c r="D443" s="12"/>
      <c r="E443" s="3"/>
      <c r="F443" s="30"/>
    </row>
    <row r="444" spans="1:6" ht="15" customHeight="1" x14ac:dyDescent="0.25">
      <c r="A444" s="6"/>
      <c r="B444" s="2"/>
      <c r="C444" s="12"/>
      <c r="D444" s="12"/>
      <c r="E444" s="3"/>
      <c r="F444" s="30"/>
    </row>
    <row r="445" spans="1:6" ht="15" customHeight="1" x14ac:dyDescent="0.25">
      <c r="A445" s="6"/>
      <c r="B445" s="2"/>
      <c r="C445" s="12"/>
      <c r="D445" s="12"/>
      <c r="E445" s="3"/>
      <c r="F445" s="30"/>
    </row>
    <row r="446" spans="1:6" ht="15" customHeight="1" x14ac:dyDescent="0.25">
      <c r="A446" s="6"/>
      <c r="B446" s="2"/>
      <c r="C446" s="12"/>
      <c r="D446" s="12"/>
      <c r="E446" s="3"/>
      <c r="F446" s="30"/>
    </row>
    <row r="447" spans="1:6" ht="15" customHeight="1" x14ac:dyDescent="0.25">
      <c r="A447" s="6"/>
      <c r="B447" s="2"/>
      <c r="C447" s="12"/>
      <c r="D447" s="12"/>
      <c r="E447" s="3"/>
      <c r="F447" s="30"/>
    </row>
    <row r="448" spans="1:6" ht="15" customHeight="1" x14ac:dyDescent="0.25">
      <c r="A448" s="6"/>
      <c r="B448" s="2"/>
      <c r="C448" s="12"/>
      <c r="D448" s="12"/>
      <c r="E448" s="3"/>
      <c r="F448" s="30"/>
    </row>
    <row r="449" spans="1:6" ht="15" customHeight="1" x14ac:dyDescent="0.25">
      <c r="A449" s="6"/>
      <c r="B449" s="2"/>
      <c r="C449" s="12"/>
      <c r="D449" s="12"/>
      <c r="E449" s="3"/>
      <c r="F449" s="30"/>
    </row>
    <row r="450" spans="1:6" ht="30" customHeight="1" x14ac:dyDescent="0.25">
      <c r="A450" s="6"/>
      <c r="B450" s="2"/>
      <c r="C450" s="12"/>
      <c r="D450" s="12"/>
      <c r="E450" s="3"/>
      <c r="F450" s="30"/>
    </row>
    <row r="451" spans="1:6" ht="15" customHeight="1" x14ac:dyDescent="0.25">
      <c r="A451" s="6"/>
      <c r="B451" s="2"/>
      <c r="C451" s="12"/>
      <c r="D451" s="12"/>
      <c r="E451" s="3"/>
      <c r="F451" s="30"/>
    </row>
    <row r="452" spans="1:6" ht="45" customHeight="1" x14ac:dyDescent="0.25">
      <c r="A452" s="6"/>
      <c r="B452" s="2"/>
      <c r="C452" s="12"/>
      <c r="D452" s="12"/>
      <c r="E452" s="3"/>
      <c r="F452" s="30"/>
    </row>
    <row r="453" spans="1:6" ht="30" customHeight="1" x14ac:dyDescent="0.25">
      <c r="A453" s="6"/>
      <c r="B453" s="2"/>
      <c r="C453" s="12"/>
      <c r="D453" s="12"/>
      <c r="E453" s="3"/>
      <c r="F453" s="30"/>
    </row>
    <row r="454" spans="1:6" ht="30" customHeight="1" x14ac:dyDescent="0.25">
      <c r="A454" s="6"/>
      <c r="B454" s="2"/>
      <c r="C454" s="12"/>
      <c r="D454" s="12"/>
      <c r="E454" s="3"/>
      <c r="F454" s="30"/>
    </row>
    <row r="455" spans="1:6" ht="30" customHeight="1" x14ac:dyDescent="0.25">
      <c r="A455" s="6"/>
      <c r="B455" s="2"/>
      <c r="C455" s="12"/>
      <c r="D455" s="12"/>
      <c r="E455" s="3"/>
      <c r="F455" s="30"/>
    </row>
    <row r="456" spans="1:6" ht="45" customHeight="1" x14ac:dyDescent="0.25">
      <c r="A456" s="6"/>
      <c r="B456" s="2"/>
      <c r="C456" s="12"/>
      <c r="D456" s="12"/>
      <c r="E456" s="3"/>
      <c r="F456" s="30"/>
    </row>
    <row r="457" spans="1:6" ht="30" customHeight="1" x14ac:dyDescent="0.25">
      <c r="A457" s="6"/>
      <c r="B457" s="2"/>
      <c r="C457" s="12"/>
      <c r="D457" s="12"/>
      <c r="E457" s="3"/>
      <c r="F457" s="30"/>
    </row>
    <row r="458" spans="1:6" ht="15" customHeight="1" x14ac:dyDescent="0.25">
      <c r="A458" s="7"/>
      <c r="B458" s="2"/>
      <c r="C458" s="12"/>
      <c r="D458" s="12"/>
      <c r="E458" s="3"/>
      <c r="F458" s="31"/>
    </row>
    <row r="460" spans="1:6" ht="15" customHeight="1" x14ac:dyDescent="0.25">
      <c r="A460" s="8" t="s">
        <v>0</v>
      </c>
      <c r="B460" s="2">
        <f>'Abstracts List'!A22</f>
        <v>231</v>
      </c>
      <c r="C460" s="1"/>
      <c r="D460" s="3"/>
      <c r="E460" s="3"/>
      <c r="F460" s="3"/>
    </row>
    <row r="461" spans="1:6" ht="15" customHeight="1" x14ac:dyDescent="0.25">
      <c r="A461" s="8" t="s">
        <v>1</v>
      </c>
      <c r="B461" s="2" t="str">
        <f>'Abstracts List'!B22</f>
        <v>Centralized Distributionally Robust Chance-Constrained Dispatch of Integrated Transmission-Distribution Systems</v>
      </c>
      <c r="C461" s="1"/>
      <c r="D461" s="3"/>
      <c r="E461" s="4"/>
      <c r="F461" s="3"/>
    </row>
    <row r="462" spans="1:6" ht="141.75" customHeight="1" x14ac:dyDescent="0.25">
      <c r="A462" s="9" t="s">
        <v>3</v>
      </c>
      <c r="B462" s="2" t="str">
        <f>'Abstracts List'!C22</f>
        <v>Coordinated dispatch of integrated transmission-distribution systems (ITDs) continues to be a hotspot due to the growing demand-side flexibility. Decentralized optimization, which has been widely studied, does not conform to the current hierarchical framework of power system operation. This paper proposes a centralized distributionally robust chance-constrained dispatch model for ITDs. The transmission system operator considers the flexible ranges of large-scale distributed energy resources (DERs) in distribution systems via flexibility aggregation. A price-guided flexibility model is proposed to describe the temporally coupled aggregate flexibility of distribution systems. It is constructed by filtering those constraints with a high probability of activeness in the ITD dispatch problem, reducing the number of constraints from quadratic to linear with the number of divided time slots while maintaining high accuracy. Furthermore, we use the data-driven distributionally robust chance constraint to deal with the uncertainty from both renewable generations and the flexibility of DERs. Numerical simulations on IEEE test systems verify the effectiveness of the proposed methods.</v>
      </c>
      <c r="C462" s="1"/>
      <c r="D462" s="3"/>
      <c r="E462" s="5"/>
      <c r="F462" s="3"/>
    </row>
    <row r="463" spans="1:6" ht="15" customHeight="1" x14ac:dyDescent="0.25">
      <c r="A463" s="8" t="s">
        <v>5</v>
      </c>
      <c r="B463" s="11" t="s">
        <v>6</v>
      </c>
      <c r="C463" s="8" t="s">
        <v>7</v>
      </c>
      <c r="D463" s="8" t="s">
        <v>8</v>
      </c>
      <c r="E463" s="3"/>
      <c r="F463" s="29" t="s">
        <v>9</v>
      </c>
    </row>
    <row r="464" spans="1:6" ht="45" customHeight="1" x14ac:dyDescent="0.25">
      <c r="A464" s="10" t="s">
        <v>10</v>
      </c>
      <c r="B464" s="2" t="e" cm="1">
        <f t="array" aca="1" ref="B464" ca="1">INDIRECT(B463)</f>
        <v>#REF!</v>
      </c>
      <c r="C464" s="12"/>
      <c r="D464" s="12"/>
      <c r="E464" s="3"/>
      <c r="F464" s="30"/>
    </row>
    <row r="465" spans="1:6" ht="15" customHeight="1" x14ac:dyDescent="0.25">
      <c r="A465" s="6"/>
      <c r="B465" s="2"/>
      <c r="C465" s="12"/>
      <c r="D465" s="12"/>
      <c r="E465" s="3"/>
      <c r="F465" s="30"/>
    </row>
    <row r="466" spans="1:6" ht="15" customHeight="1" x14ac:dyDescent="0.25">
      <c r="A466" s="6"/>
      <c r="B466" s="2"/>
      <c r="C466" s="12"/>
      <c r="D466" s="12"/>
      <c r="E466" s="3"/>
      <c r="F466" s="30"/>
    </row>
    <row r="467" spans="1:6" ht="15" customHeight="1" x14ac:dyDescent="0.25">
      <c r="A467" s="6"/>
      <c r="B467" s="2"/>
      <c r="C467" s="12"/>
      <c r="D467" s="12"/>
      <c r="E467" s="3"/>
      <c r="F467" s="30"/>
    </row>
    <row r="468" spans="1:6" ht="15" customHeight="1" x14ac:dyDescent="0.25">
      <c r="A468" s="6"/>
      <c r="B468" s="2"/>
      <c r="C468" s="12"/>
      <c r="D468" s="12"/>
      <c r="E468" s="3"/>
      <c r="F468" s="30"/>
    </row>
    <row r="469" spans="1:6" ht="15" customHeight="1" x14ac:dyDescent="0.25">
      <c r="A469" s="6"/>
      <c r="B469" s="2"/>
      <c r="C469" s="12"/>
      <c r="D469" s="12"/>
      <c r="E469" s="3"/>
      <c r="F469" s="30"/>
    </row>
    <row r="470" spans="1:6" ht="15" customHeight="1" x14ac:dyDescent="0.25">
      <c r="A470" s="6"/>
      <c r="B470" s="2"/>
      <c r="C470" s="12"/>
      <c r="D470" s="12"/>
      <c r="E470" s="3"/>
      <c r="F470" s="30"/>
    </row>
    <row r="471" spans="1:6" ht="15" customHeight="1" x14ac:dyDescent="0.25">
      <c r="A471" s="6"/>
      <c r="B471" s="2"/>
      <c r="C471" s="12"/>
      <c r="D471" s="12"/>
      <c r="E471" s="3"/>
      <c r="F471" s="30"/>
    </row>
    <row r="472" spans="1:6" ht="15" customHeight="1" x14ac:dyDescent="0.25">
      <c r="A472" s="6"/>
      <c r="B472" s="2"/>
      <c r="C472" s="12"/>
      <c r="D472" s="12"/>
      <c r="E472" s="3"/>
      <c r="F472" s="30"/>
    </row>
    <row r="473" spans="1:6" ht="15" customHeight="1" x14ac:dyDescent="0.25">
      <c r="A473" s="6"/>
      <c r="B473" s="2"/>
      <c r="C473" s="12"/>
      <c r="D473" s="12"/>
      <c r="E473" s="3"/>
      <c r="F473" s="30"/>
    </row>
    <row r="474" spans="1:6" ht="15" customHeight="1" x14ac:dyDescent="0.25">
      <c r="A474" s="6"/>
      <c r="B474" s="2"/>
      <c r="C474" s="12"/>
      <c r="D474" s="12"/>
      <c r="E474" s="3"/>
      <c r="F474" s="30"/>
    </row>
    <row r="475" spans="1:6" ht="15" customHeight="1" x14ac:dyDescent="0.25">
      <c r="A475" s="6"/>
      <c r="B475" s="2"/>
      <c r="C475" s="12"/>
      <c r="D475" s="12"/>
      <c r="E475" s="3"/>
      <c r="F475" s="30"/>
    </row>
    <row r="476" spans="1:6" ht="15" customHeight="1" x14ac:dyDescent="0.25">
      <c r="A476" s="6"/>
      <c r="B476" s="2"/>
      <c r="C476" s="12"/>
      <c r="D476" s="12"/>
      <c r="E476" s="3"/>
      <c r="F476" s="30"/>
    </row>
    <row r="477" spans="1:6" ht="30" customHeight="1" x14ac:dyDescent="0.25">
      <c r="A477" s="6"/>
      <c r="B477" s="2"/>
      <c r="C477" s="12"/>
      <c r="D477" s="12"/>
      <c r="E477" s="3"/>
      <c r="F477" s="30"/>
    </row>
    <row r="478" spans="1:6" ht="15" customHeight="1" x14ac:dyDescent="0.25">
      <c r="A478" s="6"/>
      <c r="B478" s="2"/>
      <c r="C478" s="12"/>
      <c r="D478" s="12"/>
      <c r="E478" s="3"/>
      <c r="F478" s="30"/>
    </row>
    <row r="479" spans="1:6" ht="45" customHeight="1" x14ac:dyDescent="0.25">
      <c r="A479" s="6"/>
      <c r="B479" s="2"/>
      <c r="C479" s="12"/>
      <c r="D479" s="12"/>
      <c r="E479" s="3"/>
      <c r="F479" s="30"/>
    </row>
    <row r="480" spans="1:6" ht="30" customHeight="1" x14ac:dyDescent="0.25">
      <c r="A480" s="6"/>
      <c r="B480" s="2"/>
      <c r="C480" s="12"/>
      <c r="D480" s="12"/>
      <c r="E480" s="3"/>
      <c r="F480" s="30"/>
    </row>
    <row r="481" spans="1:6" ht="30" customHeight="1" x14ac:dyDescent="0.25">
      <c r="A481" s="6"/>
      <c r="B481" s="2"/>
      <c r="C481" s="12"/>
      <c r="D481" s="12"/>
      <c r="E481" s="3"/>
      <c r="F481" s="30"/>
    </row>
    <row r="482" spans="1:6" ht="30" customHeight="1" x14ac:dyDescent="0.25">
      <c r="A482" s="6"/>
      <c r="B482" s="2"/>
      <c r="C482" s="12"/>
      <c r="D482" s="12"/>
      <c r="E482" s="3"/>
      <c r="F482" s="30"/>
    </row>
    <row r="483" spans="1:6" ht="45" customHeight="1" x14ac:dyDescent="0.25">
      <c r="A483" s="6"/>
      <c r="B483" s="2"/>
      <c r="C483" s="12"/>
      <c r="D483" s="12"/>
      <c r="E483" s="3"/>
      <c r="F483" s="30"/>
    </row>
    <row r="484" spans="1:6" ht="30" customHeight="1" x14ac:dyDescent="0.25">
      <c r="A484" s="6"/>
      <c r="B484" s="2"/>
      <c r="C484" s="12"/>
      <c r="D484" s="12"/>
      <c r="E484" s="3"/>
      <c r="F484" s="30"/>
    </row>
    <row r="485" spans="1:6" ht="15" customHeight="1" x14ac:dyDescent="0.25">
      <c r="A485" s="7"/>
      <c r="B485" s="2"/>
      <c r="C485" s="12"/>
      <c r="D485" s="12"/>
      <c r="E485" s="3"/>
      <c r="F485" s="31"/>
    </row>
    <row r="487" spans="1:6" ht="15" customHeight="1" x14ac:dyDescent="0.25">
      <c r="A487" s="8" t="s">
        <v>0</v>
      </c>
      <c r="B487" s="2">
        <f>'Abstracts List'!A37</f>
        <v>228</v>
      </c>
      <c r="C487" s="1"/>
      <c r="D487" s="3"/>
      <c r="E487" s="3"/>
      <c r="F487" s="3"/>
    </row>
    <row r="488" spans="1:6" ht="15" customHeight="1" x14ac:dyDescent="0.25">
      <c r="A488" s="8" t="s">
        <v>1</v>
      </c>
      <c r="B488" s="2" t="str">
        <f>'Abstracts List'!B37</f>
        <v>Reduced Voltage-Dependency by Categorical Location Information and Distance Along Street Metric for Meter-Transformer Mapping in Distribution Systems</v>
      </c>
      <c r="C488" s="1"/>
      <c r="D488" s="3"/>
      <c r="E488" s="4"/>
      <c r="F488" s="3"/>
    </row>
    <row r="489" spans="1:6" ht="197.25" customHeight="1" x14ac:dyDescent="0.25">
      <c r="A489" s="9" t="s">
        <v>3</v>
      </c>
      <c r="B489" s="2" t="str">
        <f>'Abstracts List'!C37</f>
        <v>Deep penetration of distributed energy resources (DERs) and electric vehicles (EVs) introduce benefits but may cause the overloading of service transformers in distribution networks. Such situations require real-time transformer loading information, where an accurate mapping between smart meters and distribution transformers is a prerequisite, e.g., summing the downstream smart meter consumptions. Due to arbitrary curvature in streets, we propose to employ a density-based clustering based on voltage magnitudes (continuous) and street name (categorical) information. However, a density-based approach may only be able to localize a meter to a street segment. Hence, we use a second-stage spectral clustering with distance along the street (DAS), a novel feature, to obtain meter clusters, each with a common parent transformer. For mapping transformers to meter clusters, we use the nearest cluster center approach based on the location since voltage measurements may not be available at transformers. Moreover, we provide a theoretical guarantee for such an approach. Finally, we illustrate the usefulness of the proposed algorithm on long streets, which is a challenging scenario due to many possible incorrect combinations of meter-transformer mapping. The proposed algorithm has been tested on modified IEEE 8-, $6{9}$-, 123-bus test systems and real distribution feeders from a utility in the Southwestern United States, demonstrating outstanding performance.</v>
      </c>
      <c r="C489" s="1"/>
      <c r="D489" s="3"/>
      <c r="E489" s="5"/>
      <c r="F489" s="3"/>
    </row>
    <row r="490" spans="1:6" ht="15" customHeight="1" x14ac:dyDescent="0.25">
      <c r="A490" s="8" t="s">
        <v>5</v>
      </c>
      <c r="B490" s="11" t="s">
        <v>6</v>
      </c>
      <c r="C490" s="8" t="s">
        <v>7</v>
      </c>
      <c r="D490" s="8" t="s">
        <v>8</v>
      </c>
      <c r="E490" s="3"/>
      <c r="F490" s="29" t="s">
        <v>9</v>
      </c>
    </row>
    <row r="491" spans="1:6" ht="45" customHeight="1" x14ac:dyDescent="0.25">
      <c r="A491" s="10" t="s">
        <v>10</v>
      </c>
      <c r="B491" s="2" t="e" cm="1">
        <f t="array" aca="1" ref="B491" ca="1">INDIRECT(B490)</f>
        <v>#REF!</v>
      </c>
      <c r="C491" s="12"/>
      <c r="D491" s="12"/>
      <c r="E491" s="3"/>
      <c r="F491" s="30"/>
    </row>
    <row r="492" spans="1:6" ht="15" customHeight="1" x14ac:dyDescent="0.25">
      <c r="A492" s="6"/>
      <c r="B492" s="2"/>
      <c r="C492" s="12"/>
      <c r="D492" s="12"/>
      <c r="E492" s="3"/>
      <c r="F492" s="30"/>
    </row>
    <row r="493" spans="1:6" ht="15" customHeight="1" x14ac:dyDescent="0.25">
      <c r="A493" s="6"/>
      <c r="B493" s="2"/>
      <c r="C493" s="12"/>
      <c r="D493" s="12"/>
      <c r="E493" s="3"/>
      <c r="F493" s="30"/>
    </row>
    <row r="494" spans="1:6" ht="15" customHeight="1" x14ac:dyDescent="0.25">
      <c r="A494" s="6"/>
      <c r="B494" s="2"/>
      <c r="C494" s="12"/>
      <c r="D494" s="12"/>
      <c r="E494" s="3"/>
      <c r="F494" s="30"/>
    </row>
    <row r="495" spans="1:6" ht="15" customHeight="1" x14ac:dyDescent="0.25">
      <c r="A495" s="6"/>
      <c r="B495" s="2"/>
      <c r="C495" s="12"/>
      <c r="D495" s="12"/>
      <c r="E495" s="3"/>
      <c r="F495" s="30"/>
    </row>
    <row r="496" spans="1:6" ht="15" customHeight="1" x14ac:dyDescent="0.25">
      <c r="A496" s="6"/>
      <c r="B496" s="2"/>
      <c r="C496" s="12"/>
      <c r="D496" s="12"/>
      <c r="E496" s="3"/>
      <c r="F496" s="30"/>
    </row>
    <row r="497" spans="1:6" ht="15" customHeight="1" x14ac:dyDescent="0.25">
      <c r="A497" s="6"/>
      <c r="B497" s="2"/>
      <c r="C497" s="12"/>
      <c r="D497" s="12"/>
      <c r="E497" s="3"/>
      <c r="F497" s="30"/>
    </row>
    <row r="498" spans="1:6" ht="15" customHeight="1" x14ac:dyDescent="0.25">
      <c r="A498" s="6"/>
      <c r="B498" s="2"/>
      <c r="C498" s="12"/>
      <c r="D498" s="12"/>
      <c r="E498" s="3"/>
      <c r="F498" s="30"/>
    </row>
    <row r="499" spans="1:6" ht="15" customHeight="1" x14ac:dyDescent="0.25">
      <c r="A499" s="6"/>
      <c r="B499" s="2"/>
      <c r="C499" s="12"/>
      <c r="D499" s="12"/>
      <c r="E499" s="3"/>
      <c r="F499" s="30"/>
    </row>
    <row r="500" spans="1:6" ht="15" customHeight="1" x14ac:dyDescent="0.25">
      <c r="A500" s="6"/>
      <c r="B500" s="2"/>
      <c r="C500" s="12"/>
      <c r="D500" s="12"/>
      <c r="E500" s="3"/>
      <c r="F500" s="30"/>
    </row>
    <row r="501" spans="1:6" ht="15" customHeight="1" x14ac:dyDescent="0.25">
      <c r="A501" s="6"/>
      <c r="B501" s="2"/>
      <c r="C501" s="12"/>
      <c r="D501" s="12"/>
      <c r="E501" s="3"/>
      <c r="F501" s="30"/>
    </row>
    <row r="502" spans="1:6" ht="15" customHeight="1" x14ac:dyDescent="0.25">
      <c r="A502" s="6"/>
      <c r="B502" s="2"/>
      <c r="C502" s="12"/>
      <c r="D502" s="12"/>
      <c r="E502" s="3"/>
      <c r="F502" s="30"/>
    </row>
    <row r="503" spans="1:6" ht="15" customHeight="1" x14ac:dyDescent="0.25">
      <c r="A503" s="6"/>
      <c r="B503" s="2"/>
      <c r="C503" s="12"/>
      <c r="D503" s="12"/>
      <c r="E503" s="3"/>
      <c r="F503" s="30"/>
    </row>
    <row r="504" spans="1:6" ht="30" customHeight="1" x14ac:dyDescent="0.25">
      <c r="A504" s="6"/>
      <c r="B504" s="2"/>
      <c r="C504" s="12"/>
      <c r="D504" s="12"/>
      <c r="E504" s="3"/>
      <c r="F504" s="30"/>
    </row>
    <row r="505" spans="1:6" ht="15" customHeight="1" x14ac:dyDescent="0.25">
      <c r="A505" s="6"/>
      <c r="B505" s="2"/>
      <c r="C505" s="12"/>
      <c r="D505" s="12"/>
      <c r="E505" s="3"/>
      <c r="F505" s="30"/>
    </row>
    <row r="506" spans="1:6" ht="45" customHeight="1" x14ac:dyDescent="0.25">
      <c r="A506" s="6"/>
      <c r="B506" s="2"/>
      <c r="C506" s="12"/>
      <c r="D506" s="12"/>
      <c r="E506" s="3"/>
      <c r="F506" s="30"/>
    </row>
    <row r="507" spans="1:6" ht="30" customHeight="1" x14ac:dyDescent="0.25">
      <c r="A507" s="6"/>
      <c r="B507" s="2"/>
      <c r="C507" s="12"/>
      <c r="D507" s="12"/>
      <c r="E507" s="3"/>
      <c r="F507" s="30"/>
    </row>
    <row r="508" spans="1:6" ht="30" customHeight="1" x14ac:dyDescent="0.25">
      <c r="A508" s="6"/>
      <c r="B508" s="2"/>
      <c r="C508" s="12"/>
      <c r="D508" s="12"/>
      <c r="E508" s="3"/>
      <c r="F508" s="30"/>
    </row>
    <row r="509" spans="1:6" ht="30" customHeight="1" x14ac:dyDescent="0.25">
      <c r="A509" s="6"/>
      <c r="B509" s="2"/>
      <c r="C509" s="12"/>
      <c r="D509" s="12"/>
      <c r="E509" s="3"/>
      <c r="F509" s="30"/>
    </row>
    <row r="510" spans="1:6" ht="45" customHeight="1" x14ac:dyDescent="0.25">
      <c r="A510" s="6"/>
      <c r="B510" s="2"/>
      <c r="C510" s="12"/>
      <c r="D510" s="12"/>
      <c r="E510" s="3"/>
      <c r="F510" s="30"/>
    </row>
    <row r="511" spans="1:6" ht="30" customHeight="1" x14ac:dyDescent="0.25">
      <c r="A511" s="6"/>
      <c r="B511" s="2"/>
      <c r="C511" s="12"/>
      <c r="D511" s="12"/>
      <c r="E511" s="3"/>
      <c r="F511" s="30"/>
    </row>
    <row r="512" spans="1:6" ht="15" customHeight="1" x14ac:dyDescent="0.25">
      <c r="A512" s="7"/>
      <c r="B512" s="2"/>
      <c r="C512" s="12"/>
      <c r="D512" s="12"/>
      <c r="E512" s="3"/>
      <c r="F512" s="31"/>
    </row>
    <row r="514" spans="1:6" ht="15" customHeight="1" x14ac:dyDescent="0.25">
      <c r="A514" s="8" t="s">
        <v>0</v>
      </c>
      <c r="B514" s="2">
        <f>'Abstracts List'!A53</f>
        <v>45</v>
      </c>
      <c r="C514" s="1"/>
      <c r="D514" s="3"/>
      <c r="E514" s="3"/>
      <c r="F514" s="3"/>
    </row>
    <row r="515" spans="1:6" ht="15" customHeight="1" x14ac:dyDescent="0.25">
      <c r="A515" s="8" t="s">
        <v>1</v>
      </c>
      <c r="B515" s="2" t="str">
        <f>'Abstracts List'!B53</f>
        <v>Time Aggregation in Presence of Multiple Variable Energy Resources</v>
      </c>
      <c r="C515" s="1"/>
      <c r="D515" s="3"/>
      <c r="E515" s="4"/>
      <c r="F515" s="3"/>
    </row>
    <row r="516" spans="1:6" ht="185.25" customHeight="1" x14ac:dyDescent="0.25">
      <c r="A516" s="9" t="s">
        <v>3</v>
      </c>
      <c r="B516" s="2" t="str">
        <f>'Abstracts List'!C53</f>
        <v>This paper proposes a new time aggregation method that can properly reflect the spatial aspect of the data sources alongside their temporal behaviour when multiple variable energy resources are involved. Each representative period, constructed by the proposed method, can include more than one representative day, which, in itself, represents a group of data sources that are highly associated with each other. It also preserves the spatial relationship among data sources as a whole by constructing a hybrid centroid. Two case studies, each with different data sources and networks, with and without energy storage, are considered for this study. In the second case, we add an storage to reflect the significance of preserving shape of patterns in the representative periods. The duration curves of wind farms' and solar farms' generations, electricity demand, and net demand are used as data-based evaluation indices to compare the performance of the proposed method against other approaches. In addition, an IEEE 24-bus and a 6-bus test system are considered for the case studies. Two model-based evaluation indices are used to measure the performance of the clustering methods, including the power flow of all the lines in the system and the annual operation cost of the system. In addition, the performance of the proposed method in the presence of energy storage is evaluated and compared with existing methods.</v>
      </c>
      <c r="C516" s="1"/>
      <c r="D516" s="3"/>
      <c r="E516" s="5"/>
      <c r="F516" s="3"/>
    </row>
    <row r="517" spans="1:6" ht="15" customHeight="1" x14ac:dyDescent="0.25">
      <c r="A517" s="8" t="s">
        <v>5</v>
      </c>
      <c r="B517" s="11" t="s">
        <v>6</v>
      </c>
      <c r="C517" s="8" t="s">
        <v>7</v>
      </c>
      <c r="D517" s="8" t="s">
        <v>8</v>
      </c>
      <c r="E517" s="3"/>
      <c r="F517" s="29" t="s">
        <v>9</v>
      </c>
    </row>
    <row r="518" spans="1:6" ht="45" customHeight="1" x14ac:dyDescent="0.25">
      <c r="A518" s="10" t="s">
        <v>10</v>
      </c>
      <c r="B518" s="2" t="e" cm="1">
        <f t="array" aca="1" ref="B518" ca="1">INDIRECT(B517)</f>
        <v>#REF!</v>
      </c>
      <c r="C518" s="12"/>
      <c r="D518" s="12"/>
      <c r="E518" s="3"/>
      <c r="F518" s="30"/>
    </row>
    <row r="519" spans="1:6" ht="15" customHeight="1" x14ac:dyDescent="0.25">
      <c r="A519" s="6"/>
      <c r="B519" s="2"/>
      <c r="C519" s="12"/>
      <c r="D519" s="12"/>
      <c r="E519" s="3"/>
      <c r="F519" s="30"/>
    </row>
    <row r="520" spans="1:6" ht="15" customHeight="1" x14ac:dyDescent="0.25">
      <c r="A520" s="6"/>
      <c r="B520" s="2"/>
      <c r="C520" s="12"/>
      <c r="D520" s="12"/>
      <c r="E520" s="3"/>
      <c r="F520" s="30"/>
    </row>
    <row r="521" spans="1:6" ht="15" customHeight="1" x14ac:dyDescent="0.25">
      <c r="A521" s="6"/>
      <c r="B521" s="2"/>
      <c r="C521" s="12"/>
      <c r="D521" s="12"/>
      <c r="E521" s="3"/>
      <c r="F521" s="30"/>
    </row>
    <row r="522" spans="1:6" ht="15" customHeight="1" x14ac:dyDescent="0.25">
      <c r="A522" s="6"/>
      <c r="B522" s="2"/>
      <c r="C522" s="12"/>
      <c r="D522" s="12"/>
      <c r="E522" s="3"/>
      <c r="F522" s="30"/>
    </row>
    <row r="523" spans="1:6" ht="15" customHeight="1" x14ac:dyDescent="0.25">
      <c r="A523" s="6"/>
      <c r="B523" s="2"/>
      <c r="C523" s="12"/>
      <c r="D523" s="12"/>
      <c r="E523" s="3"/>
      <c r="F523" s="30"/>
    </row>
    <row r="524" spans="1:6" ht="15" customHeight="1" x14ac:dyDescent="0.25">
      <c r="A524" s="6"/>
      <c r="B524" s="2"/>
      <c r="C524" s="12"/>
      <c r="D524" s="12"/>
      <c r="E524" s="3"/>
      <c r="F524" s="30"/>
    </row>
    <row r="525" spans="1:6" ht="15" customHeight="1" x14ac:dyDescent="0.25">
      <c r="A525" s="6"/>
      <c r="B525" s="2"/>
      <c r="C525" s="12"/>
      <c r="D525" s="12"/>
      <c r="E525" s="3"/>
      <c r="F525" s="30"/>
    </row>
    <row r="526" spans="1:6" ht="15" customHeight="1" x14ac:dyDescent="0.25">
      <c r="A526" s="6"/>
      <c r="B526" s="2"/>
      <c r="C526" s="12"/>
      <c r="D526" s="12"/>
      <c r="E526" s="3"/>
      <c r="F526" s="30"/>
    </row>
    <row r="527" spans="1:6" ht="15" customHeight="1" x14ac:dyDescent="0.25">
      <c r="A527" s="6"/>
      <c r="B527" s="2"/>
      <c r="C527" s="12"/>
      <c r="D527" s="12"/>
      <c r="E527" s="3"/>
      <c r="F527" s="30"/>
    </row>
    <row r="528" spans="1:6" ht="15" customHeight="1" x14ac:dyDescent="0.25">
      <c r="A528" s="6"/>
      <c r="B528" s="2"/>
      <c r="C528" s="12"/>
      <c r="D528" s="12"/>
      <c r="E528" s="3"/>
      <c r="F528" s="30"/>
    </row>
    <row r="529" spans="1:6" ht="15" customHeight="1" x14ac:dyDescent="0.25">
      <c r="A529" s="6"/>
      <c r="B529" s="2"/>
      <c r="C529" s="12"/>
      <c r="D529" s="12"/>
      <c r="E529" s="3"/>
      <c r="F529" s="30"/>
    </row>
    <row r="530" spans="1:6" ht="15" customHeight="1" x14ac:dyDescent="0.25">
      <c r="A530" s="6"/>
      <c r="B530" s="2"/>
      <c r="C530" s="12"/>
      <c r="D530" s="12"/>
      <c r="E530" s="3"/>
      <c r="F530" s="30"/>
    </row>
    <row r="531" spans="1:6" ht="30" customHeight="1" x14ac:dyDescent="0.25">
      <c r="A531" s="6"/>
      <c r="B531" s="2"/>
      <c r="C531" s="12"/>
      <c r="D531" s="12"/>
      <c r="E531" s="3"/>
      <c r="F531" s="30"/>
    </row>
    <row r="532" spans="1:6" ht="15" customHeight="1" x14ac:dyDescent="0.25">
      <c r="A532" s="6"/>
      <c r="B532" s="2"/>
      <c r="C532" s="12"/>
      <c r="D532" s="12"/>
      <c r="E532" s="3"/>
      <c r="F532" s="30"/>
    </row>
    <row r="533" spans="1:6" ht="45" customHeight="1" x14ac:dyDescent="0.25">
      <c r="A533" s="6"/>
      <c r="B533" s="2"/>
      <c r="C533" s="12"/>
      <c r="D533" s="12"/>
      <c r="E533" s="3"/>
      <c r="F533" s="30"/>
    </row>
    <row r="534" spans="1:6" ht="30" customHeight="1" x14ac:dyDescent="0.25">
      <c r="A534" s="6"/>
      <c r="B534" s="2"/>
      <c r="C534" s="12"/>
      <c r="D534" s="12"/>
      <c r="E534" s="3"/>
      <c r="F534" s="30"/>
    </row>
    <row r="535" spans="1:6" ht="30" customHeight="1" x14ac:dyDescent="0.25">
      <c r="A535" s="6"/>
      <c r="B535" s="2"/>
      <c r="C535" s="12"/>
      <c r="D535" s="12"/>
      <c r="E535" s="3"/>
      <c r="F535" s="30"/>
    </row>
    <row r="536" spans="1:6" ht="30" customHeight="1" x14ac:dyDescent="0.25">
      <c r="A536" s="6"/>
      <c r="B536" s="2"/>
      <c r="C536" s="12"/>
      <c r="D536" s="12"/>
      <c r="E536" s="3"/>
      <c r="F536" s="30"/>
    </row>
    <row r="537" spans="1:6" ht="45" customHeight="1" x14ac:dyDescent="0.25">
      <c r="A537" s="6"/>
      <c r="B537" s="2"/>
      <c r="C537" s="12"/>
      <c r="D537" s="12"/>
      <c r="E537" s="3"/>
      <c r="F537" s="30"/>
    </row>
    <row r="538" spans="1:6" ht="30" customHeight="1" x14ac:dyDescent="0.25">
      <c r="A538" s="6"/>
      <c r="B538" s="2"/>
      <c r="C538" s="12"/>
      <c r="D538" s="12"/>
      <c r="E538" s="3"/>
      <c r="F538" s="30"/>
    </row>
    <row r="539" spans="1:6" ht="15" customHeight="1" x14ac:dyDescent="0.25">
      <c r="A539" s="7"/>
      <c r="B539" s="2"/>
      <c r="C539" s="12"/>
      <c r="D539" s="12"/>
      <c r="E539" s="3"/>
      <c r="F539" s="31"/>
    </row>
    <row r="541" spans="1:6" ht="15" customHeight="1" x14ac:dyDescent="0.25">
      <c r="A541" s="8" t="s">
        <v>0</v>
      </c>
      <c r="B541" s="2">
        <f>'Abstracts List'!A80</f>
        <v>280</v>
      </c>
      <c r="C541" s="1"/>
      <c r="D541" s="3"/>
      <c r="E541" s="3"/>
      <c r="F541" s="3"/>
    </row>
    <row r="542" spans="1:6" ht="15" customHeight="1" x14ac:dyDescent="0.25">
      <c r="A542" s="8" t="s">
        <v>1</v>
      </c>
      <c r="B542" s="2" t="str">
        <f>'Abstracts List'!B80</f>
        <v>Cyber-Physical Attack Launched From EVSE Botnet</v>
      </c>
      <c r="C542" s="1"/>
      <c r="D542" s="3"/>
      <c r="E542" s="4"/>
      <c r="F542" s="3"/>
    </row>
    <row r="543" spans="1:6" ht="207.75" customHeight="1" x14ac:dyDescent="0.25">
      <c r="A543" s="9" t="s">
        <v>3</v>
      </c>
      <c r="B543" s="2" t="str">
        <f>'Abstracts List'!C80</f>
        <v>With the development of electric vehicles, millions of electric vehicle service equipment (EVSE) are integrated into the power grid. These EVSEs are weakly protected from cyber-attacks. By exploiting vulnerabilities, attackers could establish a botnet integrating hundred-MW-level EVSE loads from the Internet. Dynamic load-altering attack (DLAA) is powerful to amplify the load disturbance to destabilize the power grid. However, different from large-scale loads controlled by existing DLAA, the EVSE botnet is formulated by tens of thousands of bots widely distributed on various power grid nodes, rendering it challenging to be coordinated. In this article, we analyze the approach to launching a DLAA from the distributed EVSE botnet. Firstly, we adopt a time-division model to evaluate the impact of communication limitations on the attack vectors of the botnet. Then we develop an analytical model to calculate the coordinated effect of attack vectors from different nodes and with varying phase angles; thus, we provide a foundation for the optimal coordination of distributed bots. Subsequently, considering the power grid has adopted defense measures to eliminate or suppress the attack, we formulate an optimization algorithm to make the attack robust against these potential defense measures. Numerical simulations validate the effectiveness of the proposed approach.</v>
      </c>
      <c r="C543" s="1"/>
      <c r="D543" s="3"/>
      <c r="E543" s="5"/>
      <c r="F543" s="3"/>
    </row>
    <row r="544" spans="1:6" ht="15" customHeight="1" x14ac:dyDescent="0.25">
      <c r="A544" s="8" t="s">
        <v>5</v>
      </c>
      <c r="B544" s="11" t="s">
        <v>6</v>
      </c>
      <c r="C544" s="8" t="s">
        <v>7</v>
      </c>
      <c r="D544" s="8" t="s">
        <v>8</v>
      </c>
      <c r="E544" s="3"/>
      <c r="F544" s="29" t="s">
        <v>9</v>
      </c>
    </row>
    <row r="545" spans="1:6" ht="45" customHeight="1" x14ac:dyDescent="0.25">
      <c r="A545" s="10" t="s">
        <v>10</v>
      </c>
      <c r="B545" s="2" t="e" cm="1">
        <f t="array" aca="1" ref="B545" ca="1">INDIRECT(B544)</f>
        <v>#REF!</v>
      </c>
      <c r="C545" s="12"/>
      <c r="D545" s="12"/>
      <c r="E545" s="3"/>
      <c r="F545" s="30"/>
    </row>
    <row r="546" spans="1:6" ht="15" customHeight="1" x14ac:dyDescent="0.25">
      <c r="A546" s="6"/>
      <c r="B546" s="2"/>
      <c r="C546" s="12"/>
      <c r="D546" s="12"/>
      <c r="E546" s="3"/>
      <c r="F546" s="30"/>
    </row>
    <row r="547" spans="1:6" ht="15" customHeight="1" x14ac:dyDescent="0.25">
      <c r="A547" s="6"/>
      <c r="B547" s="2"/>
      <c r="C547" s="12"/>
      <c r="D547" s="12"/>
      <c r="E547" s="3"/>
      <c r="F547" s="30"/>
    </row>
    <row r="548" spans="1:6" ht="15" customHeight="1" x14ac:dyDescent="0.25">
      <c r="A548" s="6"/>
      <c r="B548" s="2"/>
      <c r="C548" s="12"/>
      <c r="D548" s="12"/>
      <c r="E548" s="3"/>
      <c r="F548" s="30"/>
    </row>
    <row r="549" spans="1:6" ht="15" customHeight="1" x14ac:dyDescent="0.25">
      <c r="A549" s="6"/>
      <c r="B549" s="2"/>
      <c r="C549" s="12"/>
      <c r="D549" s="12"/>
      <c r="E549" s="3"/>
      <c r="F549" s="30"/>
    </row>
    <row r="550" spans="1:6" ht="15" customHeight="1" x14ac:dyDescent="0.25">
      <c r="A550" s="6"/>
      <c r="B550" s="2"/>
      <c r="C550" s="12"/>
      <c r="D550" s="12"/>
      <c r="E550" s="3"/>
      <c r="F550" s="30"/>
    </row>
    <row r="551" spans="1:6" ht="15" customHeight="1" x14ac:dyDescent="0.25">
      <c r="A551" s="6"/>
      <c r="B551" s="2"/>
      <c r="C551" s="12"/>
      <c r="D551" s="12"/>
      <c r="E551" s="3"/>
      <c r="F551" s="30"/>
    </row>
    <row r="552" spans="1:6" ht="15" customHeight="1" x14ac:dyDescent="0.25">
      <c r="A552" s="6"/>
      <c r="B552" s="2"/>
      <c r="C552" s="12"/>
      <c r="D552" s="12"/>
      <c r="E552" s="3"/>
      <c r="F552" s="30"/>
    </row>
    <row r="553" spans="1:6" ht="15" customHeight="1" x14ac:dyDescent="0.25">
      <c r="A553" s="6"/>
      <c r="B553" s="2"/>
      <c r="C553" s="12"/>
      <c r="D553" s="12"/>
      <c r="E553" s="3"/>
      <c r="F553" s="30"/>
    </row>
    <row r="554" spans="1:6" ht="15" customHeight="1" x14ac:dyDescent="0.25">
      <c r="A554" s="6"/>
      <c r="B554" s="2"/>
      <c r="C554" s="12"/>
      <c r="D554" s="12"/>
      <c r="E554" s="3"/>
      <c r="F554" s="30"/>
    </row>
    <row r="555" spans="1:6" ht="15" customHeight="1" x14ac:dyDescent="0.25">
      <c r="A555" s="6"/>
      <c r="B555" s="2"/>
      <c r="C555" s="12"/>
      <c r="D555" s="12"/>
      <c r="E555" s="3"/>
      <c r="F555" s="30"/>
    </row>
    <row r="556" spans="1:6" ht="15" customHeight="1" x14ac:dyDescent="0.25">
      <c r="A556" s="6"/>
      <c r="B556" s="2"/>
      <c r="C556" s="12"/>
      <c r="D556" s="12"/>
      <c r="E556" s="3"/>
      <c r="F556" s="30"/>
    </row>
    <row r="557" spans="1:6" ht="15" customHeight="1" x14ac:dyDescent="0.25">
      <c r="A557" s="6"/>
      <c r="B557" s="2"/>
      <c r="C557" s="12"/>
      <c r="D557" s="12"/>
      <c r="E557" s="3"/>
      <c r="F557" s="30"/>
    </row>
    <row r="558" spans="1:6" ht="30" customHeight="1" x14ac:dyDescent="0.25">
      <c r="A558" s="6"/>
      <c r="B558" s="2"/>
      <c r="C558" s="12"/>
      <c r="D558" s="12"/>
      <c r="E558" s="3"/>
      <c r="F558" s="30"/>
    </row>
    <row r="559" spans="1:6" ht="15" customHeight="1" x14ac:dyDescent="0.25">
      <c r="A559" s="6"/>
      <c r="B559" s="2"/>
      <c r="C559" s="12"/>
      <c r="D559" s="12"/>
      <c r="E559" s="3"/>
      <c r="F559" s="30"/>
    </row>
    <row r="560" spans="1:6" ht="45" customHeight="1" x14ac:dyDescent="0.25">
      <c r="A560" s="6"/>
      <c r="B560" s="2"/>
      <c r="C560" s="12"/>
      <c r="D560" s="12"/>
      <c r="E560" s="3"/>
      <c r="F560" s="30"/>
    </row>
    <row r="561" spans="1:6" ht="30" customHeight="1" x14ac:dyDescent="0.25">
      <c r="A561" s="6"/>
      <c r="B561" s="2"/>
      <c r="C561" s="12"/>
      <c r="D561" s="12"/>
      <c r="E561" s="3"/>
      <c r="F561" s="30"/>
    </row>
    <row r="562" spans="1:6" ht="30" customHeight="1" x14ac:dyDescent="0.25">
      <c r="A562" s="6"/>
      <c r="B562" s="2"/>
      <c r="C562" s="12"/>
      <c r="D562" s="12"/>
      <c r="E562" s="3"/>
      <c r="F562" s="30"/>
    </row>
    <row r="563" spans="1:6" ht="30" customHeight="1" x14ac:dyDescent="0.25">
      <c r="A563" s="6"/>
      <c r="B563" s="2"/>
      <c r="C563" s="12"/>
      <c r="D563" s="12"/>
      <c r="E563" s="3"/>
      <c r="F563" s="30"/>
    </row>
    <row r="564" spans="1:6" ht="45" customHeight="1" x14ac:dyDescent="0.25">
      <c r="A564" s="6"/>
      <c r="B564" s="2"/>
      <c r="C564" s="12"/>
      <c r="D564" s="12"/>
      <c r="E564" s="3"/>
      <c r="F564" s="30"/>
    </row>
    <row r="565" spans="1:6" ht="30" customHeight="1" x14ac:dyDescent="0.25">
      <c r="A565" s="6"/>
      <c r="B565" s="2"/>
      <c r="C565" s="12"/>
      <c r="D565" s="12"/>
      <c r="E565" s="3"/>
      <c r="F565" s="30"/>
    </row>
    <row r="566" spans="1:6" ht="15" customHeight="1" x14ac:dyDescent="0.25">
      <c r="A566" s="7"/>
      <c r="B566" s="2"/>
      <c r="C566" s="12"/>
      <c r="D566" s="12"/>
      <c r="E566" s="3"/>
      <c r="F566" s="31"/>
    </row>
  </sheetData>
  <mergeCells count="21">
    <mergeCell ref="F301:F323"/>
    <mergeCell ref="F4:F26"/>
    <mergeCell ref="F31:F53"/>
    <mergeCell ref="F58:F80"/>
    <mergeCell ref="F85:F107"/>
    <mergeCell ref="F112:F134"/>
    <mergeCell ref="F139:F161"/>
    <mergeCell ref="F166:F188"/>
    <mergeCell ref="F193:F215"/>
    <mergeCell ref="F220:F242"/>
    <mergeCell ref="F247:F269"/>
    <mergeCell ref="F274:F296"/>
    <mergeCell ref="F490:F512"/>
    <mergeCell ref="F517:F539"/>
    <mergeCell ref="F544:F566"/>
    <mergeCell ref="F328:F350"/>
    <mergeCell ref="F355:F377"/>
    <mergeCell ref="F382:F404"/>
    <mergeCell ref="F409:F431"/>
    <mergeCell ref="F436:F458"/>
    <mergeCell ref="F463:F485"/>
  </mergeCells>
  <dataValidations count="1">
    <dataValidation type="whole" allowBlank="1" showInputMessage="1" showErrorMessage="1" sqref="C5:C26 C32:C53 C59:C80 C86:C107 C113:C134 C140:C161 C167:C188 C194:C215 C221:C242 C248:C269 C275:C296 C302:C323 C329:C350 C356:C377 C383:C404 C410:C431 C437:C458 C464:C485 C491:C512 C518:C539 C545:C566" xr:uid="{70EBCA9A-983E-4258-87F5-696226F788BD}">
      <formula1>0</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11F98E-BEB4-4C14-8203-70E534A61C2F}">
          <x14:formula1>
            <xm:f>'Question Detail'!$I$2:$I$9</xm:f>
          </x14:formula1>
          <xm:sqref>B4 B31 B58 B85 B112 B139 B166 B193 B220 B247 B274 B301 B328 B355 B382 B409 B436 B463 B490 B517 B544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0A77A-492B-4CFC-922D-C2686C7D77DF}">
  <sheetPr codeName="Sheet2">
    <tabColor rgb="FF00B050"/>
  </sheetPr>
  <dimension ref="A1:Y49"/>
  <sheetViews>
    <sheetView topLeftCell="C1" workbookViewId="0">
      <selection activeCell="J7" sqref="J7"/>
    </sheetView>
  </sheetViews>
  <sheetFormatPr defaultColWidth="44.140625" defaultRowHeight="15" x14ac:dyDescent="0.25"/>
  <cols>
    <col min="1" max="1" width="15.42578125" bestFit="1" customWidth="1"/>
    <col min="2" max="2" width="43.42578125" bestFit="1" customWidth="1"/>
    <col min="3" max="3" width="11.140625" customWidth="1"/>
    <col min="4" max="4" width="88.5703125" customWidth="1"/>
    <col min="5" max="5" width="11.5703125" customWidth="1"/>
    <col min="6" max="7" width="9.85546875" customWidth="1"/>
    <col min="8" max="8" width="8.28515625" customWidth="1"/>
    <col min="9" max="9" width="7.85546875" customWidth="1"/>
    <col min="10" max="10" width="7.7109375" customWidth="1"/>
    <col min="11" max="11" width="7.140625" customWidth="1"/>
    <col min="12" max="12" width="10.42578125" customWidth="1"/>
    <col min="13" max="13" width="9.5703125" customWidth="1"/>
    <col min="14" max="14" width="9.28515625" customWidth="1"/>
    <col min="15" max="15" width="7.5703125" customWidth="1"/>
    <col min="16" max="16" width="6.7109375" customWidth="1"/>
    <col min="17" max="17" width="6.140625" customWidth="1"/>
    <col min="18" max="18" width="7.42578125" customWidth="1"/>
    <col min="19" max="19" width="7" customWidth="1"/>
    <col min="20" max="20" width="6.5703125" customWidth="1"/>
    <col min="21" max="21" width="7.28515625" customWidth="1"/>
    <col min="22" max="22" width="8.5703125" customWidth="1"/>
    <col min="23" max="23" width="7.85546875" customWidth="1"/>
    <col min="24" max="24" width="10.42578125" customWidth="1"/>
    <col min="25" max="25" width="10.85546875" customWidth="1"/>
  </cols>
  <sheetData>
    <row r="1" spans="1:25" x14ac:dyDescent="0.25">
      <c r="A1" t="s">
        <v>12</v>
      </c>
      <c r="B1" s="15" t="s">
        <v>13</v>
      </c>
      <c r="C1" s="15" t="s">
        <v>14</v>
      </c>
      <c r="D1" s="15" t="s">
        <v>15</v>
      </c>
      <c r="E1">
        <v>1</v>
      </c>
      <c r="F1">
        <v>103</v>
      </c>
      <c r="G1">
        <v>115</v>
      </c>
      <c r="H1">
        <v>81</v>
      </c>
      <c r="I1">
        <v>134</v>
      </c>
      <c r="J1">
        <v>71</v>
      </c>
      <c r="K1">
        <v>146</v>
      </c>
      <c r="L1">
        <v>65</v>
      </c>
      <c r="M1">
        <v>281</v>
      </c>
      <c r="N1">
        <v>241</v>
      </c>
      <c r="O1">
        <v>94</v>
      </c>
      <c r="P1">
        <v>44</v>
      </c>
      <c r="Q1">
        <v>185</v>
      </c>
      <c r="R1">
        <v>174</v>
      </c>
      <c r="S1">
        <v>194</v>
      </c>
      <c r="T1">
        <v>212</v>
      </c>
      <c r="U1">
        <v>15</v>
      </c>
      <c r="V1">
        <v>231</v>
      </c>
      <c r="W1">
        <v>228</v>
      </c>
      <c r="X1">
        <v>45</v>
      </c>
      <c r="Y1">
        <v>280</v>
      </c>
    </row>
    <row r="2" spans="1:25" ht="40.5" x14ac:dyDescent="0.25">
      <c r="A2" s="34" t="s">
        <v>16</v>
      </c>
      <c r="B2" s="33" t="s">
        <v>17</v>
      </c>
      <c r="C2" s="16">
        <v>1</v>
      </c>
      <c r="D2" s="17" t="s">
        <v>18</v>
      </c>
    </row>
    <row r="3" spans="1:25" ht="27" x14ac:dyDescent="0.25">
      <c r="A3" s="34"/>
      <c r="B3" s="33"/>
      <c r="C3" s="16">
        <v>2</v>
      </c>
      <c r="D3" s="17" t="s">
        <v>19</v>
      </c>
      <c r="F3">
        <v>3</v>
      </c>
    </row>
    <row r="4" spans="1:25" ht="27" x14ac:dyDescent="0.25">
      <c r="A4" s="34"/>
      <c r="B4" s="33"/>
      <c r="C4" s="18">
        <v>3</v>
      </c>
      <c r="D4" s="17" t="s">
        <v>20</v>
      </c>
      <c r="P4">
        <v>1</v>
      </c>
    </row>
    <row r="5" spans="1:25" ht="40.5" x14ac:dyDescent="0.25">
      <c r="A5" s="34"/>
      <c r="B5" s="33" t="s">
        <v>21</v>
      </c>
      <c r="C5" s="18">
        <v>4</v>
      </c>
      <c r="D5" s="17" t="s">
        <v>22</v>
      </c>
      <c r="F5">
        <v>2</v>
      </c>
      <c r="P5">
        <v>2</v>
      </c>
      <c r="T5">
        <v>2</v>
      </c>
    </row>
    <row r="6" spans="1:25" ht="27" x14ac:dyDescent="0.25">
      <c r="A6" s="34"/>
      <c r="B6" s="33"/>
      <c r="C6" s="18">
        <f t="shared" ref="C6:C49" si="0">C5+1</f>
        <v>5</v>
      </c>
      <c r="D6" s="17" t="s">
        <v>23</v>
      </c>
    </row>
    <row r="7" spans="1:25" ht="27" x14ac:dyDescent="0.25">
      <c r="A7" s="34"/>
      <c r="B7" s="33"/>
      <c r="C7" s="18">
        <f t="shared" si="0"/>
        <v>6</v>
      </c>
      <c r="D7" s="17" t="s">
        <v>24</v>
      </c>
    </row>
    <row r="8" spans="1:25" ht="30" x14ac:dyDescent="0.25">
      <c r="A8" s="33" t="s">
        <v>25</v>
      </c>
      <c r="B8" s="15" t="s">
        <v>26</v>
      </c>
      <c r="C8" s="16">
        <f t="shared" si="0"/>
        <v>7</v>
      </c>
      <c r="D8" s="17" t="s">
        <v>27</v>
      </c>
      <c r="F8">
        <v>1</v>
      </c>
      <c r="G8">
        <v>2</v>
      </c>
      <c r="J8">
        <v>1</v>
      </c>
    </row>
    <row r="9" spans="1:25" ht="26.1" customHeight="1" x14ac:dyDescent="0.25">
      <c r="A9" s="33"/>
      <c r="B9" s="33" t="s">
        <v>28</v>
      </c>
      <c r="C9" s="16">
        <f t="shared" si="0"/>
        <v>8</v>
      </c>
      <c r="D9" s="17" t="s">
        <v>29</v>
      </c>
    </row>
    <row r="10" spans="1:25" ht="27" x14ac:dyDescent="0.25">
      <c r="A10" s="33"/>
      <c r="B10" s="33"/>
      <c r="C10" s="16">
        <f t="shared" si="0"/>
        <v>9</v>
      </c>
      <c r="D10" s="17" t="s">
        <v>30</v>
      </c>
      <c r="F10">
        <v>2</v>
      </c>
      <c r="G10">
        <v>2</v>
      </c>
      <c r="J10">
        <v>3</v>
      </c>
      <c r="T10">
        <v>2</v>
      </c>
    </row>
    <row r="11" spans="1:25" ht="27" x14ac:dyDescent="0.25">
      <c r="A11" s="33"/>
      <c r="B11" s="33"/>
      <c r="C11" s="16">
        <f t="shared" si="0"/>
        <v>10</v>
      </c>
      <c r="D11" s="17" t="s">
        <v>31</v>
      </c>
      <c r="T11">
        <v>3</v>
      </c>
    </row>
    <row r="12" spans="1:25" ht="27" x14ac:dyDescent="0.25">
      <c r="A12" s="33"/>
      <c r="B12" s="33"/>
      <c r="C12" s="16">
        <f t="shared" si="0"/>
        <v>11</v>
      </c>
      <c r="D12" s="17" t="s">
        <v>32</v>
      </c>
      <c r="J12">
        <v>1</v>
      </c>
    </row>
    <row r="13" spans="1:25" ht="27" x14ac:dyDescent="0.25">
      <c r="A13" s="32" t="s">
        <v>33</v>
      </c>
      <c r="B13" s="33" t="s">
        <v>34</v>
      </c>
      <c r="C13" s="16">
        <f t="shared" si="0"/>
        <v>12</v>
      </c>
      <c r="D13" s="17" t="s">
        <v>35</v>
      </c>
      <c r="H13">
        <v>3</v>
      </c>
      <c r="L13">
        <v>1</v>
      </c>
      <c r="O13">
        <v>1</v>
      </c>
      <c r="V13">
        <v>3</v>
      </c>
      <c r="X13">
        <v>1</v>
      </c>
    </row>
    <row r="14" spans="1:25" ht="27" x14ac:dyDescent="0.25">
      <c r="A14" s="32"/>
      <c r="B14" s="33"/>
      <c r="C14" s="16">
        <f t="shared" si="0"/>
        <v>13</v>
      </c>
      <c r="D14" s="17" t="s">
        <v>36</v>
      </c>
      <c r="H14">
        <v>1</v>
      </c>
      <c r="L14">
        <v>1</v>
      </c>
      <c r="O14">
        <v>1</v>
      </c>
      <c r="V14">
        <v>3</v>
      </c>
      <c r="W14">
        <v>1</v>
      </c>
      <c r="X14">
        <v>1</v>
      </c>
    </row>
    <row r="15" spans="1:25" ht="30" customHeight="1" x14ac:dyDescent="0.25">
      <c r="A15" s="32"/>
      <c r="B15" s="33"/>
      <c r="C15" s="16">
        <f t="shared" si="0"/>
        <v>14</v>
      </c>
      <c r="D15" s="17" t="s">
        <v>37</v>
      </c>
      <c r="H15">
        <v>2</v>
      </c>
      <c r="L15">
        <v>1</v>
      </c>
      <c r="V15">
        <v>1</v>
      </c>
      <c r="W15">
        <v>1</v>
      </c>
      <c r="X15">
        <v>1</v>
      </c>
    </row>
    <row r="16" spans="1:25" ht="40.5" x14ac:dyDescent="0.25">
      <c r="A16" s="32" t="s">
        <v>38</v>
      </c>
      <c r="B16" s="33" t="s">
        <v>39</v>
      </c>
      <c r="C16" s="16">
        <f t="shared" si="0"/>
        <v>15</v>
      </c>
      <c r="D16" s="17" t="s">
        <v>40</v>
      </c>
      <c r="L16">
        <v>2</v>
      </c>
      <c r="O16">
        <v>2</v>
      </c>
      <c r="W16">
        <v>1</v>
      </c>
      <c r="X16">
        <v>2</v>
      </c>
    </row>
    <row r="17" spans="1:24" ht="26.1" customHeight="1" x14ac:dyDescent="0.25">
      <c r="A17" s="32"/>
      <c r="B17" s="33"/>
      <c r="C17" s="16">
        <f t="shared" si="0"/>
        <v>16</v>
      </c>
      <c r="D17" s="17" t="s">
        <v>41</v>
      </c>
      <c r="L17">
        <v>3</v>
      </c>
    </row>
    <row r="18" spans="1:24" ht="30" customHeight="1" x14ac:dyDescent="0.25">
      <c r="A18" s="32"/>
      <c r="B18" s="33" t="s">
        <v>42</v>
      </c>
      <c r="C18" s="16">
        <f t="shared" si="0"/>
        <v>17</v>
      </c>
      <c r="D18" s="17" t="s">
        <v>43</v>
      </c>
      <c r="L18">
        <v>2</v>
      </c>
    </row>
    <row r="19" spans="1:24" ht="54" x14ac:dyDescent="0.25">
      <c r="A19" s="32"/>
      <c r="B19" s="33"/>
      <c r="C19" s="16">
        <f t="shared" si="0"/>
        <v>18</v>
      </c>
      <c r="D19" s="17" t="s">
        <v>44</v>
      </c>
      <c r="L19">
        <v>2</v>
      </c>
      <c r="W19">
        <v>1</v>
      </c>
    </row>
    <row r="20" spans="1:24" ht="27" x14ac:dyDescent="0.25">
      <c r="A20" s="34" t="s">
        <v>45</v>
      </c>
      <c r="B20" s="33" t="s">
        <v>46</v>
      </c>
      <c r="C20" s="18">
        <f t="shared" si="0"/>
        <v>19</v>
      </c>
      <c r="D20" s="17" t="s">
        <v>47</v>
      </c>
      <c r="F20">
        <v>1</v>
      </c>
    </row>
    <row r="21" spans="1:24" ht="27" x14ac:dyDescent="0.25">
      <c r="A21" s="34"/>
      <c r="B21" s="33"/>
      <c r="C21" s="18">
        <f t="shared" si="0"/>
        <v>20</v>
      </c>
      <c r="D21" s="17" t="s">
        <v>48</v>
      </c>
      <c r="G21">
        <v>3</v>
      </c>
      <c r="I21">
        <v>2</v>
      </c>
      <c r="K21">
        <v>2</v>
      </c>
    </row>
    <row r="22" spans="1:24" ht="40.5" x14ac:dyDescent="0.25">
      <c r="A22" s="34"/>
      <c r="B22" s="33"/>
      <c r="C22" s="18">
        <f t="shared" si="0"/>
        <v>21</v>
      </c>
      <c r="D22" s="17" t="s">
        <v>49</v>
      </c>
      <c r="I22">
        <v>2</v>
      </c>
      <c r="M22">
        <v>1</v>
      </c>
      <c r="O22">
        <v>2</v>
      </c>
      <c r="U22">
        <v>2</v>
      </c>
      <c r="V22">
        <v>3</v>
      </c>
      <c r="X22">
        <v>2</v>
      </c>
    </row>
    <row r="23" spans="1:24" ht="27" x14ac:dyDescent="0.25">
      <c r="A23" s="34"/>
      <c r="B23" s="33" t="s">
        <v>50</v>
      </c>
      <c r="C23" s="18">
        <f t="shared" si="0"/>
        <v>22</v>
      </c>
      <c r="D23" s="17" t="s">
        <v>51</v>
      </c>
    </row>
    <row r="24" spans="1:24" ht="40.5" x14ac:dyDescent="0.25">
      <c r="A24" s="34"/>
      <c r="B24" s="33"/>
      <c r="C24" s="18">
        <f t="shared" si="0"/>
        <v>23</v>
      </c>
      <c r="D24" s="17" t="s">
        <v>52</v>
      </c>
      <c r="E24">
        <v>1</v>
      </c>
      <c r="I24">
        <v>2</v>
      </c>
    </row>
    <row r="25" spans="1:24" ht="27" x14ac:dyDescent="0.25">
      <c r="A25" s="34"/>
      <c r="B25" s="33" t="s">
        <v>53</v>
      </c>
      <c r="C25" s="18">
        <f t="shared" si="0"/>
        <v>24</v>
      </c>
      <c r="D25" s="17" t="s">
        <v>54</v>
      </c>
      <c r="E25">
        <v>2</v>
      </c>
      <c r="G25">
        <v>1</v>
      </c>
      <c r="I25">
        <v>1</v>
      </c>
    </row>
    <row r="26" spans="1:24" ht="40.5" x14ac:dyDescent="0.25">
      <c r="A26" s="34"/>
      <c r="B26" s="33"/>
      <c r="C26" s="18">
        <f t="shared" si="0"/>
        <v>25</v>
      </c>
      <c r="D26" s="17" t="s">
        <v>55</v>
      </c>
      <c r="F26">
        <v>1</v>
      </c>
    </row>
    <row r="27" spans="1:24" ht="27" x14ac:dyDescent="0.25">
      <c r="A27" s="34"/>
      <c r="B27" s="15" t="s">
        <v>56</v>
      </c>
      <c r="C27" s="18">
        <f t="shared" si="0"/>
        <v>26</v>
      </c>
      <c r="D27" s="17" t="s">
        <v>57</v>
      </c>
      <c r="I27">
        <v>2</v>
      </c>
      <c r="K27">
        <v>4</v>
      </c>
      <c r="U27">
        <v>1</v>
      </c>
    </row>
    <row r="28" spans="1:24" ht="27" x14ac:dyDescent="0.25">
      <c r="A28" s="34"/>
      <c r="B28" s="15" t="s">
        <v>58</v>
      </c>
      <c r="C28" s="18">
        <f t="shared" si="0"/>
        <v>27</v>
      </c>
      <c r="D28" s="17" t="s">
        <v>59</v>
      </c>
      <c r="E28">
        <v>2</v>
      </c>
      <c r="I28">
        <v>2</v>
      </c>
      <c r="N28">
        <v>1</v>
      </c>
    </row>
    <row r="29" spans="1:24" ht="27" x14ac:dyDescent="0.25">
      <c r="A29" s="34" t="s">
        <v>60</v>
      </c>
      <c r="B29" s="33" t="s">
        <v>61</v>
      </c>
      <c r="C29" s="16">
        <f t="shared" si="0"/>
        <v>28</v>
      </c>
      <c r="D29" s="17" t="s">
        <v>62</v>
      </c>
      <c r="X29">
        <v>1</v>
      </c>
    </row>
    <row r="30" spans="1:24" ht="40.5" x14ac:dyDescent="0.25">
      <c r="A30" s="34"/>
      <c r="B30" s="33"/>
      <c r="C30" s="16">
        <f t="shared" si="0"/>
        <v>29</v>
      </c>
      <c r="D30" s="17" t="s">
        <v>63</v>
      </c>
      <c r="L30">
        <v>2</v>
      </c>
      <c r="M30">
        <v>2</v>
      </c>
      <c r="O30">
        <v>2</v>
      </c>
      <c r="X30">
        <v>1</v>
      </c>
    </row>
    <row r="31" spans="1:24" x14ac:dyDescent="0.25">
      <c r="A31" s="34"/>
      <c r="B31" s="33"/>
      <c r="C31" s="16">
        <f t="shared" si="0"/>
        <v>30</v>
      </c>
      <c r="D31" s="17" t="s">
        <v>64</v>
      </c>
      <c r="M31">
        <v>2</v>
      </c>
      <c r="P31">
        <v>3</v>
      </c>
    </row>
    <row r="32" spans="1:24" ht="27" x14ac:dyDescent="0.25">
      <c r="A32" s="34"/>
      <c r="B32" s="33"/>
      <c r="C32" s="16">
        <f t="shared" si="0"/>
        <v>31</v>
      </c>
      <c r="D32" s="17" t="s">
        <v>65</v>
      </c>
    </row>
    <row r="33" spans="1:24" ht="27" x14ac:dyDescent="0.25">
      <c r="A33" s="34"/>
      <c r="B33" s="33" t="s">
        <v>66</v>
      </c>
      <c r="C33" s="16">
        <f t="shared" si="0"/>
        <v>32</v>
      </c>
      <c r="D33" s="17" t="s">
        <v>67</v>
      </c>
    </row>
    <row r="34" spans="1:24" ht="40.5" x14ac:dyDescent="0.25">
      <c r="A34" s="34"/>
      <c r="B34" s="33"/>
      <c r="C34" s="16">
        <f t="shared" si="0"/>
        <v>33</v>
      </c>
      <c r="D34" s="17" t="s">
        <v>68</v>
      </c>
      <c r="L34">
        <v>2</v>
      </c>
      <c r="M34">
        <v>2</v>
      </c>
      <c r="P34">
        <v>1</v>
      </c>
      <c r="V34">
        <v>2</v>
      </c>
    </row>
    <row r="35" spans="1:24" ht="27" x14ac:dyDescent="0.25">
      <c r="A35" s="34"/>
      <c r="B35" s="33"/>
      <c r="C35" s="16">
        <f t="shared" si="0"/>
        <v>34</v>
      </c>
      <c r="D35" s="17" t="s">
        <v>69</v>
      </c>
      <c r="F35">
        <v>1</v>
      </c>
      <c r="M35">
        <v>1</v>
      </c>
    </row>
    <row r="36" spans="1:24" ht="40.5" x14ac:dyDescent="0.25">
      <c r="A36" s="34"/>
      <c r="B36" s="33"/>
      <c r="C36" s="16">
        <f t="shared" si="0"/>
        <v>35</v>
      </c>
      <c r="D36" s="17" t="s">
        <v>70</v>
      </c>
      <c r="E36">
        <v>1</v>
      </c>
      <c r="F36">
        <v>1</v>
      </c>
      <c r="L36">
        <v>2</v>
      </c>
      <c r="M36">
        <v>2</v>
      </c>
      <c r="O36">
        <v>1</v>
      </c>
      <c r="P36">
        <v>2</v>
      </c>
      <c r="S36">
        <v>1</v>
      </c>
      <c r="U36">
        <v>1</v>
      </c>
      <c r="V36">
        <v>2</v>
      </c>
      <c r="X36">
        <v>1</v>
      </c>
    </row>
    <row r="37" spans="1:24" ht="27" x14ac:dyDescent="0.25">
      <c r="A37" s="34"/>
      <c r="B37" s="33"/>
      <c r="C37" s="16">
        <f t="shared" si="0"/>
        <v>36</v>
      </c>
      <c r="D37" s="17" t="s">
        <v>71</v>
      </c>
      <c r="M37">
        <v>3</v>
      </c>
      <c r="P37">
        <v>3</v>
      </c>
    </row>
    <row r="38" spans="1:24" ht="27" x14ac:dyDescent="0.25">
      <c r="A38" s="34" t="s">
        <v>11</v>
      </c>
      <c r="B38" s="33" t="s">
        <v>72</v>
      </c>
      <c r="C38" s="16">
        <f t="shared" si="0"/>
        <v>37</v>
      </c>
      <c r="D38" s="17" t="s">
        <v>73</v>
      </c>
      <c r="E38">
        <v>2</v>
      </c>
    </row>
    <row r="39" spans="1:24" ht="14.45" customHeight="1" x14ac:dyDescent="0.25">
      <c r="A39" s="34"/>
      <c r="B39" s="33"/>
      <c r="C39" s="16">
        <f t="shared" si="0"/>
        <v>38</v>
      </c>
      <c r="D39" s="17" t="s">
        <v>74</v>
      </c>
      <c r="J39">
        <v>1</v>
      </c>
    </row>
    <row r="40" spans="1:24" ht="40.5" x14ac:dyDescent="0.25">
      <c r="A40" s="34"/>
      <c r="B40" s="33"/>
      <c r="C40" s="16">
        <f t="shared" si="0"/>
        <v>39</v>
      </c>
      <c r="D40" s="17" t="s">
        <v>75</v>
      </c>
      <c r="E40">
        <v>1</v>
      </c>
      <c r="H40">
        <v>1</v>
      </c>
      <c r="J40">
        <v>1</v>
      </c>
      <c r="V40">
        <v>2</v>
      </c>
      <c r="X40">
        <v>2</v>
      </c>
    </row>
    <row r="41" spans="1:24" ht="27" x14ac:dyDescent="0.25">
      <c r="A41" s="34"/>
      <c r="B41" s="33"/>
      <c r="C41" s="16">
        <f t="shared" si="0"/>
        <v>40</v>
      </c>
      <c r="D41" s="17" t="s">
        <v>76</v>
      </c>
      <c r="H41">
        <v>2</v>
      </c>
      <c r="L41">
        <v>1</v>
      </c>
      <c r="O41">
        <v>1</v>
      </c>
      <c r="X41">
        <v>1</v>
      </c>
    </row>
    <row r="42" spans="1:24" ht="27" x14ac:dyDescent="0.25">
      <c r="A42" s="34"/>
      <c r="B42" s="33" t="s">
        <v>77</v>
      </c>
      <c r="C42" s="16">
        <f t="shared" si="0"/>
        <v>41</v>
      </c>
      <c r="D42" s="17" t="s">
        <v>78</v>
      </c>
      <c r="E42">
        <v>3</v>
      </c>
      <c r="J42">
        <v>1</v>
      </c>
      <c r="X42">
        <v>2</v>
      </c>
    </row>
    <row r="43" spans="1:24" ht="27" x14ac:dyDescent="0.25">
      <c r="A43" s="34"/>
      <c r="B43" s="33"/>
      <c r="C43" s="16">
        <f t="shared" si="0"/>
        <v>42</v>
      </c>
      <c r="D43" s="17" t="s">
        <v>79</v>
      </c>
      <c r="E43">
        <v>2</v>
      </c>
      <c r="H43">
        <v>2</v>
      </c>
      <c r="I43">
        <v>1</v>
      </c>
      <c r="L43">
        <v>1</v>
      </c>
      <c r="O43">
        <v>1</v>
      </c>
      <c r="P43">
        <v>1</v>
      </c>
      <c r="R43">
        <v>2</v>
      </c>
      <c r="V43">
        <v>2</v>
      </c>
    </row>
    <row r="44" spans="1:24" ht="40.5" x14ac:dyDescent="0.25">
      <c r="A44" s="34"/>
      <c r="B44" s="33"/>
      <c r="C44" s="16">
        <f t="shared" si="0"/>
        <v>43</v>
      </c>
      <c r="D44" s="17" t="s">
        <v>80</v>
      </c>
      <c r="E44">
        <v>2</v>
      </c>
      <c r="O44">
        <v>1</v>
      </c>
      <c r="V44">
        <v>2</v>
      </c>
      <c r="W44">
        <v>1</v>
      </c>
    </row>
    <row r="45" spans="1:24" ht="27" x14ac:dyDescent="0.25">
      <c r="A45" s="34"/>
      <c r="B45" s="33"/>
      <c r="C45" s="16">
        <f t="shared" si="0"/>
        <v>44</v>
      </c>
      <c r="D45" s="17" t="s">
        <v>81</v>
      </c>
      <c r="L45">
        <v>2</v>
      </c>
    </row>
    <row r="46" spans="1:24" ht="27" x14ac:dyDescent="0.25">
      <c r="A46" s="34"/>
      <c r="B46" s="33"/>
      <c r="C46" s="16">
        <f t="shared" si="0"/>
        <v>45</v>
      </c>
      <c r="D46" s="17" t="s">
        <v>82</v>
      </c>
      <c r="H46">
        <v>2</v>
      </c>
      <c r="V46">
        <v>1</v>
      </c>
    </row>
    <row r="47" spans="1:24" ht="40.5" x14ac:dyDescent="0.25">
      <c r="A47" s="34"/>
      <c r="B47" s="33" t="s">
        <v>83</v>
      </c>
      <c r="C47" s="16">
        <f t="shared" si="0"/>
        <v>46</v>
      </c>
      <c r="D47" s="17" t="s">
        <v>84</v>
      </c>
    </row>
    <row r="48" spans="1:24" ht="40.5" x14ac:dyDescent="0.25">
      <c r="A48" s="34"/>
      <c r="B48" s="33"/>
      <c r="C48" s="16">
        <f t="shared" si="0"/>
        <v>47</v>
      </c>
      <c r="D48" s="17" t="s">
        <v>85</v>
      </c>
      <c r="E48">
        <v>1</v>
      </c>
      <c r="G48">
        <v>1</v>
      </c>
    </row>
    <row r="49" spans="1:7" ht="27" x14ac:dyDescent="0.25">
      <c r="A49" s="34"/>
      <c r="B49" s="33"/>
      <c r="C49" s="16">
        <f t="shared" si="0"/>
        <v>48</v>
      </c>
      <c r="D49" s="17" t="s">
        <v>86</v>
      </c>
      <c r="E49">
        <v>2</v>
      </c>
      <c r="G49">
        <v>1</v>
      </c>
    </row>
  </sheetData>
  <mergeCells count="21">
    <mergeCell ref="A38:A49"/>
    <mergeCell ref="B47:B49"/>
    <mergeCell ref="A20:A28"/>
    <mergeCell ref="B20:B22"/>
    <mergeCell ref="B23:B24"/>
    <mergeCell ref="B25:B26"/>
    <mergeCell ref="A29:A37"/>
    <mergeCell ref="B29:B32"/>
    <mergeCell ref="B33:B37"/>
    <mergeCell ref="B38:B41"/>
    <mergeCell ref="B42:B46"/>
    <mergeCell ref="A2:A7"/>
    <mergeCell ref="B2:B4"/>
    <mergeCell ref="B5:B7"/>
    <mergeCell ref="A8:A12"/>
    <mergeCell ref="B9:B12"/>
    <mergeCell ref="A13:A15"/>
    <mergeCell ref="B13:B15"/>
    <mergeCell ref="A16:A19"/>
    <mergeCell ref="B16:B17"/>
    <mergeCell ref="B18:B19"/>
  </mergeCells>
  <hyperlinks>
    <hyperlink ref="D20" location="_ftn1" display="_ftn1" xr:uid="{CD20E0C8-647F-4DBE-A7A5-71E84A0A2A11}"/>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AE744-F59F-4D97-BB9C-6E932489C12D}">
  <sheetPr>
    <tabColor rgb="FF00B050"/>
  </sheetPr>
  <dimension ref="A1:L21"/>
  <sheetViews>
    <sheetView topLeftCell="C1" workbookViewId="0">
      <selection activeCell="E2" sqref="E2"/>
    </sheetView>
  </sheetViews>
  <sheetFormatPr defaultRowHeight="15" x14ac:dyDescent="0.25"/>
  <cols>
    <col min="1" max="1" width="14.42578125" bestFit="1" customWidth="1"/>
    <col min="2" max="2" width="22.28515625" customWidth="1"/>
    <col min="3" max="3" width="93.42578125" customWidth="1"/>
    <col min="4" max="4" width="10.28515625" bestFit="1" customWidth="1"/>
    <col min="5" max="5" width="27.140625" customWidth="1"/>
    <col min="6" max="6" width="23.140625" bestFit="1" customWidth="1"/>
    <col min="7" max="7" width="15.28515625" bestFit="1" customWidth="1"/>
    <col min="8" max="8" width="17" hidden="1" customWidth="1"/>
    <col min="9" max="9" width="25.140625" hidden="1" customWidth="1"/>
    <col min="10" max="10" width="38.85546875" bestFit="1" customWidth="1"/>
    <col min="11" max="11" width="52.85546875" bestFit="1" customWidth="1"/>
  </cols>
  <sheetData>
    <row r="1" spans="1:12" s="24" customFormat="1" x14ac:dyDescent="0.25">
      <c r="A1" s="23" t="s">
        <v>0</v>
      </c>
      <c r="B1" s="23" t="s">
        <v>1</v>
      </c>
      <c r="C1" s="23" t="s">
        <v>3</v>
      </c>
      <c r="D1" s="23" t="s">
        <v>87</v>
      </c>
      <c r="E1" s="23" t="s">
        <v>88</v>
      </c>
      <c r="F1" s="23" t="s">
        <v>89</v>
      </c>
      <c r="G1" s="23" t="s">
        <v>90</v>
      </c>
      <c r="H1" s="23" t="s">
        <v>91</v>
      </c>
      <c r="I1" s="23" t="s">
        <v>92</v>
      </c>
      <c r="J1" s="23" t="s">
        <v>93</v>
      </c>
      <c r="K1" s="23" t="s">
        <v>94</v>
      </c>
    </row>
    <row r="2" spans="1:12" ht="240" x14ac:dyDescent="0.25">
      <c r="A2" s="22">
        <v>65</v>
      </c>
      <c r="B2" s="19" t="s">
        <v>95</v>
      </c>
      <c r="C2" s="19" t="str">
        <f>_xlfn.XLOOKUP(A2,'Abstracts List'!A:A,'Abstracts List'!C:C)</f>
        <v>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v>
      </c>
      <c r="D2" s="22">
        <v>12</v>
      </c>
      <c r="E2" s="19" t="s">
        <v>35</v>
      </c>
      <c r="F2" s="22" t="s">
        <v>96</v>
      </c>
      <c r="G2" s="22" cm="1">
        <f t="array" ref="G2">_xlfn.XLOOKUP(D2, 'Question context'!$C$2:$C$49, _xlfn.XLOOKUP(A2, 'Question context'!$E$1:$Y$1, 'Question context'!$E$2:$Y$49))</f>
        <v>1</v>
      </c>
      <c r="H2" s="22" t="s">
        <v>97</v>
      </c>
      <c r="I2" s="19" t="s">
        <v>98</v>
      </c>
      <c r="J2" s="19" t="s">
        <v>99</v>
      </c>
      <c r="K2" s="19" t="s">
        <v>100</v>
      </c>
    </row>
    <row r="3" spans="1:12" ht="255" x14ac:dyDescent="0.25">
      <c r="A3" s="22">
        <v>94</v>
      </c>
      <c r="B3" s="19" t="s">
        <v>101</v>
      </c>
      <c r="C3" s="19" t="str">
        <f>_xlfn.XLOOKUP(A3,'Abstracts List'!A:A,'Abstracts List'!C:C)</f>
        <v>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v>
      </c>
      <c r="D3" s="22">
        <v>13</v>
      </c>
      <c r="E3" s="19" t="s">
        <v>36</v>
      </c>
      <c r="F3" s="22" t="s">
        <v>96</v>
      </c>
      <c r="G3" s="22" cm="1">
        <f t="array" ref="G3">_xlfn.XLOOKUP(D3, 'Question context'!$C$2:$C$49, _xlfn.XLOOKUP(A3, 'Question context'!$E$1:$Y$1, 'Question context'!$E$2:$Y$49))</f>
        <v>1</v>
      </c>
      <c r="H3" s="22" t="s">
        <v>97</v>
      </c>
      <c r="I3" s="19" t="s">
        <v>102</v>
      </c>
      <c r="J3" s="19" t="s">
        <v>103</v>
      </c>
      <c r="K3" s="19" t="s">
        <v>104</v>
      </c>
    </row>
    <row r="4" spans="1:12" ht="255" x14ac:dyDescent="0.25">
      <c r="A4" s="22">
        <v>194</v>
      </c>
      <c r="B4" s="19" t="s">
        <v>105</v>
      </c>
      <c r="C4" s="19" t="str">
        <f>_xlfn.XLOOKUP(A4,'Abstracts List'!A:A,'Abstracts List'!C:C)</f>
        <v>Proactive participation of uncertain renewable generation in the day-ahead (DA) wholesale market effectively reduces the system marginal price and carbon emissions, whilst significantly increasing the volumes of real-time balancing mechanism prices to ensure system security and stability. To solve the conflicting interests over the two timescales, this article: 1) proposes a novel hierarchical optimization model to align with the actual operation paradigms of the hierarchical market, whereby the capacity allocation matrix is adopted to coordinate the DA and balancing markets; 2) mathematically formulates and quantitatively analyses the long-term driving factors of balancing actions, enabling system operators (SOs) to design efficient and well-functioning market structures to meet economic and environmental targets; 3) empowers renewable generating units and flexible loads to participate in the balancing market (BM) as Ã¢â‚¬ËœactiveÃ¢â‚¬â„¢ actors and enforces the non-discriminatory provision of balancing services. The performance of the proposed model is validated on a modified IEEE 39-bus power system and a reduced GB network. Results reveal that with effective resource allocation in different timescales of the hierarchical market, the drop speed of balancing costs soars while the intermittent generation climbs. The proposed methodology enables SOs to make the most of all resources available in the market and balance the system flexibly and economically. It thus safeguards the climate mitigation pathways against the risks of substantially higher balancing costs.</v>
      </c>
      <c r="D4" s="22">
        <v>35</v>
      </c>
      <c r="E4" s="19" t="s">
        <v>106</v>
      </c>
      <c r="F4" s="22" t="s">
        <v>96</v>
      </c>
      <c r="G4" s="22" cm="1">
        <f t="array" ref="G4">_xlfn.XLOOKUP(D4, 'Question context'!$C$2:$C$49, _xlfn.XLOOKUP(A4, 'Question context'!$E$1:$Y$1, 'Question context'!$E$2:$Y$49))</f>
        <v>1</v>
      </c>
      <c r="H4" s="22" t="s">
        <v>107</v>
      </c>
      <c r="I4" s="22"/>
      <c r="J4" s="19" t="s">
        <v>108</v>
      </c>
      <c r="K4" s="19" t="s">
        <v>109</v>
      </c>
    </row>
    <row r="5" spans="1:12" ht="210" x14ac:dyDescent="0.25">
      <c r="A5" s="22">
        <v>44</v>
      </c>
      <c r="B5" s="19" t="s">
        <v>110</v>
      </c>
      <c r="C5" s="19" t="str">
        <f>_xlfn.XLOOKUP(A5,'Abstracts List'!A:A,'Abstracts List'!C:C)</f>
        <v>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v>
      </c>
      <c r="D5" s="22">
        <v>3</v>
      </c>
      <c r="E5" s="19" t="s">
        <v>20</v>
      </c>
      <c r="F5" s="22" t="s">
        <v>96</v>
      </c>
      <c r="G5" s="22" cm="1">
        <f t="array" ref="G5">_xlfn.XLOOKUP(D5, 'Question context'!$C$2:$C$49, _xlfn.XLOOKUP(A5, 'Question context'!$E$1:$Y$1, 'Question context'!$E$2:$Y$49))</f>
        <v>1</v>
      </c>
      <c r="H5" s="22" t="s">
        <v>107</v>
      </c>
      <c r="I5" s="22" t="s">
        <v>111</v>
      </c>
      <c r="J5" s="19" t="s">
        <v>112</v>
      </c>
      <c r="K5" s="19" t="s">
        <v>113</v>
      </c>
    </row>
    <row r="6" spans="1:12" ht="378" customHeight="1" x14ac:dyDescent="0.25">
      <c r="A6" s="22">
        <v>81</v>
      </c>
      <c r="B6" s="19" t="s">
        <v>114</v>
      </c>
      <c r="C6" s="19" t="str">
        <f>_xlfn.XLOOKUP(A6,'Abstracts List'!A:A,'Abstracts List'!C:C)</f>
        <v>The deployment of prosumers with distributed energy resources (DERs) has facilitated the prosumer-centric transactive market, giving rise to the consequent necessity for the coordination between prosumers and the distribution networks. This paper proposes an incentive-based expansion planning method considering virtual peer-to-peer (P2P) transaction among prosumers, which is characterized as a tri-level planning-operation-transaction framework. Each prosumer optimizes its internal response of DERs and external P2P transaction jointly, formulating virtual P2P transaction. Under such a paradigm, the distribution company (DISCO) identifies the optimal expansion planning in the network assets, while the independent distribution system operator (IDSO) is responsible for the optimal operation of the expanded distribution networks. To derive appropriate incentives for each prosumer, the DISCO and IDSO allocate long-term investment network charges and short-term operation network charges on prosumers, along with the designed financial transmission rights coupling multiple time scales. Through such incentives, self-profit driven virtual transactions can relieve operation problems and postpone expansion planning, acting as a short-term alternative. Moreover, a risk-based approach is proposed for prosumer to flexibly change strategy according to different risk preference. Finally, results from the case study demonstrate the superiority and effectiveness of the proposed method in the collaborative application of virtual transaction in the expansion planning.</v>
      </c>
      <c r="D6" s="22">
        <v>13</v>
      </c>
      <c r="E6" s="19" t="s">
        <v>36</v>
      </c>
      <c r="F6" s="22" t="s">
        <v>96</v>
      </c>
      <c r="G6" s="22" cm="1">
        <f t="array" ref="G6">_xlfn.XLOOKUP(D6, 'Question context'!$C$2:$C$49, _xlfn.XLOOKUP(A6, 'Question context'!$E$1:$Y$1, 'Question context'!$E$2:$Y$49))</f>
        <v>1</v>
      </c>
      <c r="H6" s="22" t="s">
        <v>107</v>
      </c>
      <c r="I6" s="22" t="s">
        <v>115</v>
      </c>
      <c r="J6" s="19" t="s">
        <v>116</v>
      </c>
      <c r="K6" s="19" t="s">
        <v>117</v>
      </c>
      <c r="L6" s="19"/>
    </row>
    <row r="7" spans="1:12" ht="330" customHeight="1" x14ac:dyDescent="0.25">
      <c r="A7" s="22">
        <v>241</v>
      </c>
      <c r="B7" s="19" t="s">
        <v>118</v>
      </c>
      <c r="C7" s="19" t="str">
        <f>_xlfn.XLOOKUP(A7,'Abstracts List'!A:A,'Abstracts List'!C:C)</f>
        <v>Accurate wind power forecast (WPF) is critical for ensuring secure and economic operation of a power system, and combination forecasting approaches for WPF have been proved effective on attaining accurate forecasting results. However, the weights in a combination forecasting model are usually predetermined based on the global performance on the training set, limiting the adaptability of the model to different scenarios. To further enhance the accuracy and effectiveness of the combination forecasting approaches, this article proposes an adaptive weighted combination forecasting approach based on the deep deterministic policy gradient (DDPG) so as to consider the local behavior accompanied by the change of external environment. Three sub-models are first selected considering the equal-likelihood and dispersion indices to construct a combination model. Then, the DDPG agent is trained to act as a weight generator by interacting with the environment and to maximize the reward. Thus, the DDPG agent can perceive the environmental changes online and dynamically weight the sub-models to attain accurate forecasting results. Case studies demonstrate that the forecasting accuracy of the proposed approach is better than that of all sub-models and several benchmark combination forecasting approaches.</v>
      </c>
      <c r="D7" s="22">
        <v>27</v>
      </c>
      <c r="E7" s="19" t="s">
        <v>59</v>
      </c>
      <c r="F7" s="22" t="s">
        <v>96</v>
      </c>
      <c r="G7" s="22" cm="1">
        <f t="array" ref="G7">_xlfn.XLOOKUP(D7, 'Question context'!$C$2:$C$49, _xlfn.XLOOKUP(A7, 'Question context'!$E$1:$Y$1, 'Question context'!$E$2:$Y$49))</f>
        <v>1</v>
      </c>
      <c r="H7" s="22" t="s">
        <v>107</v>
      </c>
      <c r="I7" s="22" t="s">
        <v>119</v>
      </c>
      <c r="J7" s="19" t="s">
        <v>120</v>
      </c>
      <c r="K7" s="19" t="s">
        <v>121</v>
      </c>
    </row>
    <row r="8" spans="1:12" ht="225" x14ac:dyDescent="0.25">
      <c r="A8" s="22">
        <v>94</v>
      </c>
      <c r="B8" s="19" t="s">
        <v>101</v>
      </c>
      <c r="C8" s="19" t="str">
        <f>_xlfn.XLOOKUP(A8,'Abstracts List'!A:A,'Abstracts List'!C:C)</f>
        <v>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v>
      </c>
      <c r="D8" s="22">
        <v>12</v>
      </c>
      <c r="E8" s="19" t="s">
        <v>35</v>
      </c>
      <c r="F8" s="22" t="s">
        <v>96</v>
      </c>
      <c r="G8" s="22" cm="1">
        <f t="array" ref="G8">_xlfn.XLOOKUP(D8, 'Question context'!$C$2:$C$49, _xlfn.XLOOKUP(A8, 'Question context'!$E$1:$Y$1, 'Question context'!$E$2:$Y$49))</f>
        <v>1</v>
      </c>
      <c r="H8" s="22" t="s">
        <v>107</v>
      </c>
      <c r="I8" s="22" t="s">
        <v>122</v>
      </c>
      <c r="J8" s="19" t="s">
        <v>123</v>
      </c>
      <c r="K8" s="19" t="s">
        <v>124</v>
      </c>
    </row>
    <row r="9" spans="1:12" ht="225" x14ac:dyDescent="0.25">
      <c r="A9" s="22">
        <v>45</v>
      </c>
      <c r="B9" s="19" t="s">
        <v>125</v>
      </c>
      <c r="C9" s="19" t="str">
        <f>_xlfn.XLOOKUP(A9,'Abstracts List'!A:A,'Abstracts List'!C:C)</f>
        <v>This paper proposes a new time aggregation method that can properly reflect the spatial aspect of the data sources alongside their temporal behaviour when multiple variable energy resources are involved. Each representative period, constructed by the proposed method, can include more than one representative day, which, in itself, represents a group of data sources that are highly associated with each other. It also preserves the spatial relationship among data sources as a whole by constructing a hybrid centroid. Two case studies, each with different data sources and networks, with and without energy storage, are considered for this study. In the second case, we add an storage to reflect the significance of preserving shape of patterns in the representative periods. The duration curves of wind farms' and solar farms' generations, electricity demand, and net demand are used as data-based evaluation indices to compare the performance of the proposed method against other approaches. In addition, an IEEE 24-bus and a 6-bus test system are considered for the case studies. Two model-based evaluation indices are used to measure the performance of the clustering methods, including the power flow of all the lines in the system and the annual operation cost of the system. In addition, the performance of the proposed method in the presence of energy storage is evaluated and compared with existing methods.</v>
      </c>
      <c r="D9" s="22">
        <v>12</v>
      </c>
      <c r="E9" s="19" t="s">
        <v>35</v>
      </c>
      <c r="F9" s="22" t="s">
        <v>96</v>
      </c>
      <c r="G9" s="22" cm="1">
        <f t="array" ref="G9">_xlfn.XLOOKUP(D9, 'Question context'!$C$2:$C$49, _xlfn.XLOOKUP(A9, 'Question context'!$E$1:$Y$1, 'Question context'!$E$2:$Y$49))</f>
        <v>1</v>
      </c>
      <c r="H9" s="22" t="s">
        <v>107</v>
      </c>
      <c r="I9" s="22" t="s">
        <v>126</v>
      </c>
      <c r="J9" s="19" t="s">
        <v>127</v>
      </c>
      <c r="K9" s="19" t="s">
        <v>128</v>
      </c>
    </row>
    <row r="10" spans="1:12" ht="240" x14ac:dyDescent="0.25">
      <c r="A10" s="22">
        <v>228</v>
      </c>
      <c r="B10" s="19" t="s">
        <v>129</v>
      </c>
      <c r="C10" s="19" t="str">
        <f>_xlfn.XLOOKUP(A10,'Abstracts List'!A:A,'Abstracts List'!C:C)</f>
        <v>Deep penetration of distributed energy resources (DERs) and electric vehicles (EVs) introduce benefits but may cause the overloading of service transformers in distribution networks. Such situations require real-time transformer loading information, where an accurate mapping between smart meters and distribution transformers is a prerequisite, e.g., summing the downstream smart meter consumptions. Due to arbitrary curvature in streets, we propose to employ a density-based clustering based on voltage magnitudes (continuous) and street name (categorical) information. However, a density-based approach may only be able to localize a meter to a street segment. Hence, we use a second-stage spectral clustering with distance along the street (DAS), a novel feature, to obtain meter clusters, each with a common parent transformer. For mapping transformers to meter clusters, we use the nearest cluster center approach based on the location since voltage measurements may not be available at transformers. Moreover, we provide a theoretical guarantee for such an approach. Finally, we illustrate the usefulness of the proposed algorithm on long streets, which is a challenging scenario due to many possible incorrect combinations of meter-transformer mapping. The proposed algorithm has been tested on modified IEEE 8-, $6{9}$-, 123-bus test systems and real distribution feeders from a utility in the Southwestern United States, demonstrating outstanding performance.</v>
      </c>
      <c r="D10" s="22">
        <v>15</v>
      </c>
      <c r="E10" s="19" t="s">
        <v>40</v>
      </c>
      <c r="F10" s="22" t="s">
        <v>96</v>
      </c>
      <c r="G10" s="22" cm="1">
        <f t="array" ref="G10">_xlfn.XLOOKUP(D10, 'Question context'!$C$2:$C$49, _xlfn.XLOOKUP(A10, 'Question context'!$E$1:$Y$1, 'Question context'!$E$2:$Y$49))</f>
        <v>1</v>
      </c>
      <c r="H10" s="22" t="s">
        <v>107</v>
      </c>
      <c r="I10" s="22" t="s">
        <v>130</v>
      </c>
      <c r="J10" s="19" t="s">
        <v>131</v>
      </c>
      <c r="K10" s="19" t="s">
        <v>132</v>
      </c>
    </row>
    <row r="11" spans="1:12" ht="225" x14ac:dyDescent="0.25">
      <c r="A11" s="22">
        <v>134</v>
      </c>
      <c r="B11" s="19" t="s">
        <v>133</v>
      </c>
      <c r="C11" s="19" t="str">
        <f>_xlfn.XLOOKUP(A11,'Abstracts List'!A:A,'Abstracts List'!C:C)</f>
        <v>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v>
      </c>
      <c r="D11" s="22">
        <v>21</v>
      </c>
      <c r="E11" s="19" t="s">
        <v>49</v>
      </c>
      <c r="F11" s="22" t="s">
        <v>97</v>
      </c>
      <c r="G11" s="22" cm="1">
        <f t="array" ref="G11">_xlfn.XLOOKUP(D11, 'Question context'!$C$2:$C$49, _xlfn.XLOOKUP(A11, 'Question context'!$E$1:$Y$1, 'Question context'!$E$2:$Y$49))</f>
        <v>2</v>
      </c>
      <c r="H11" s="22" t="s">
        <v>96</v>
      </c>
      <c r="I11" s="22" t="s">
        <v>134</v>
      </c>
      <c r="J11" s="19" t="s">
        <v>135</v>
      </c>
      <c r="K11" s="19" t="s">
        <v>136</v>
      </c>
    </row>
    <row r="12" spans="1:12" ht="309" customHeight="1" x14ac:dyDescent="0.25">
      <c r="A12" s="22">
        <v>231</v>
      </c>
      <c r="B12" s="19" t="s">
        <v>137</v>
      </c>
      <c r="C12" s="19" t="str">
        <f>_xlfn.XLOOKUP(A12,'Abstracts List'!A:A,'Abstracts List'!C:C)</f>
        <v>Coordinated dispatch of integrated transmission-distribution systems (ITDs) continues to be a hotspot due to the growing demand-side flexibility. Decentralized optimization, which has been widely studied, does not conform to the current hierarchical framework of power system operation. This paper proposes a centralized distributionally robust chance-constrained dispatch model for ITDs. The transmission system operator considers the flexible ranges of large-scale distributed energy resources (DERs) in distribution systems via flexibility aggregation. A price-guided flexibility model is proposed to describe the temporally coupled aggregate flexibility of distribution systems. It is constructed by filtering those constraints with a high probability of activeness in the ITD dispatch problem, reducing the number of constraints from quadratic to linear with the number of divided time slots while maintaining high accuracy. Furthermore, we use the data-driven distributionally robust chance constraint to deal with the uncertainty from both renewable generations and the flexibility of DERs. Numerical simulations on IEEE test systems verify the effectiveness of the proposed methods.</v>
      </c>
      <c r="D12" s="22">
        <v>39</v>
      </c>
      <c r="E12" s="19" t="s">
        <v>138</v>
      </c>
      <c r="F12" s="22" t="s">
        <v>97</v>
      </c>
      <c r="G12" s="22" cm="1">
        <f t="array" ref="G12">_xlfn.XLOOKUP(D12, 'Question context'!$C$2:$C$49, _xlfn.XLOOKUP(A12, 'Question context'!$E$1:$Y$1, 'Question context'!$E$2:$Y$49))</f>
        <v>2</v>
      </c>
      <c r="H12" s="22" t="s">
        <v>96</v>
      </c>
      <c r="I12" s="22" t="s">
        <v>139</v>
      </c>
      <c r="J12" s="19" t="s">
        <v>140</v>
      </c>
      <c r="K12" s="19" t="s">
        <v>141</v>
      </c>
    </row>
    <row r="13" spans="1:12" ht="195" x14ac:dyDescent="0.25">
      <c r="A13" s="22">
        <v>212</v>
      </c>
      <c r="B13" s="19" t="s">
        <v>142</v>
      </c>
      <c r="C13" s="19" t="str">
        <f>_xlfn.XLOOKUP(A13,'Abstracts List'!A:A,'Abstracts List'!C:C)</f>
        <v>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v>
      </c>
      <c r="D13" s="22">
        <v>4</v>
      </c>
      <c r="E13" s="19" t="s">
        <v>22</v>
      </c>
      <c r="F13" s="22" t="s">
        <v>97</v>
      </c>
      <c r="G13" s="22" cm="1">
        <f t="array" ref="G13">_xlfn.XLOOKUP(D13, 'Question context'!$C$2:$C$49, _xlfn.XLOOKUP(A13, 'Question context'!$E$1:$Y$1, 'Question context'!$E$2:$Y$49))</f>
        <v>2</v>
      </c>
      <c r="H13" s="22" t="s">
        <v>107</v>
      </c>
      <c r="I13" s="22"/>
      <c r="J13" s="19" t="s">
        <v>143</v>
      </c>
      <c r="K13" s="19" t="s">
        <v>144</v>
      </c>
    </row>
    <row r="14" spans="1:12" ht="210" x14ac:dyDescent="0.25">
      <c r="A14" s="22">
        <v>44</v>
      </c>
      <c r="B14" s="19" t="s">
        <v>110</v>
      </c>
      <c r="C14" s="19" t="str">
        <f>_xlfn.XLOOKUP(A14,'Abstracts List'!A:A,'Abstracts List'!C:C)</f>
        <v>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v>
      </c>
      <c r="D14" s="22">
        <v>4</v>
      </c>
      <c r="E14" s="19" t="s">
        <v>22</v>
      </c>
      <c r="F14" s="22" t="s">
        <v>97</v>
      </c>
      <c r="G14" s="22" cm="1">
        <f t="array" ref="G14">_xlfn.XLOOKUP(D14, 'Question context'!$C$2:$C$49, _xlfn.XLOOKUP(A14, 'Question context'!$E$1:$Y$1, 'Question context'!$E$2:$Y$49))</f>
        <v>2</v>
      </c>
      <c r="H14" s="22" t="s">
        <v>107</v>
      </c>
      <c r="I14" s="22"/>
      <c r="J14" s="19" t="s">
        <v>145</v>
      </c>
      <c r="K14" s="19" t="s">
        <v>146</v>
      </c>
    </row>
    <row r="15" spans="1:12" ht="210" x14ac:dyDescent="0.25">
      <c r="A15" s="22">
        <v>174</v>
      </c>
      <c r="B15" s="19" t="s">
        <v>147</v>
      </c>
      <c r="C15" s="19" t="str">
        <f>_xlfn.XLOOKUP(A15,'Abstracts List'!A:A,'Abstracts List'!C:C)</f>
        <v>Increased penetration of renewable resources and new loads have increased the uncertainty levels in low voltage distribution systems (LVDS). This requires considering LVDS planning, such as computing photovoltaics (PV) hosting capacity (HC), as a stochastic problem. Traditionally, PV HC is computed using the iterative Monte Carlo method, which requires solving the power flow equations thousands of times. This paper proposes a chance-constrained optimization-based hosting capacity calculation technique, which eliminates the necessity of repetitive solving of power flow equations. The intrusive general polynomial chaos expansion is used to translate the input uncertainties defined by their probability density function to the hosting capacity of the network without the necessity of sampling, linearizing the power flow equations, or applying any relaxations. Chance constraints are applied for nodal voltages and thermal overload as per the norms, where the system can be congested for a certain time without affecting the power quality. Numerical illustrations show the computational time to compute the stochastic PV hosting capacity of a real large scale LVDS, and for the majority of the feeders, it falls within 100 sec. Furthermore, the estimated PV HC using this stochastic optimal power flow was, on average, 20% higher than its deterministic counterpart.</v>
      </c>
      <c r="D15" s="22">
        <v>42</v>
      </c>
      <c r="E15" s="19" t="s">
        <v>148</v>
      </c>
      <c r="F15" s="22" t="s">
        <v>97</v>
      </c>
      <c r="G15" s="22" cm="1">
        <f t="array" ref="G15">_xlfn.XLOOKUP(D15, 'Question context'!$C$2:$C$49, _xlfn.XLOOKUP(A15, 'Question context'!$E$1:$Y$1, 'Question context'!$E$2:$Y$49))</f>
        <v>2</v>
      </c>
      <c r="H15" s="22" t="s">
        <v>107</v>
      </c>
      <c r="I15" s="22"/>
      <c r="J15" s="19" t="s">
        <v>149</v>
      </c>
    </row>
    <row r="16" spans="1:12" ht="225" x14ac:dyDescent="0.25">
      <c r="A16" s="22">
        <v>134</v>
      </c>
      <c r="B16" s="19" t="s">
        <v>133</v>
      </c>
      <c r="C16" s="19" t="str">
        <f>_xlfn.XLOOKUP(A16,'Abstracts List'!A:A,'Abstracts List'!C:C)</f>
        <v>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v>
      </c>
      <c r="D16" s="22">
        <v>23</v>
      </c>
      <c r="E16" s="19" t="s">
        <v>52</v>
      </c>
      <c r="F16" s="22" t="s">
        <v>97</v>
      </c>
      <c r="G16" s="22" cm="1">
        <f t="array" ref="G16">_xlfn.XLOOKUP(D16, 'Question context'!$C$2:$C$49, _xlfn.XLOOKUP(A16, 'Question context'!$E$1:$Y$1, 'Question context'!$E$2:$Y$49))</f>
        <v>2</v>
      </c>
      <c r="H16" s="22" t="s">
        <v>107</v>
      </c>
      <c r="I16" s="22"/>
      <c r="J16" s="19" t="s">
        <v>150</v>
      </c>
      <c r="K16" s="19" t="s">
        <v>151</v>
      </c>
    </row>
    <row r="17" spans="1:11" ht="225" x14ac:dyDescent="0.25">
      <c r="A17" s="22">
        <v>65</v>
      </c>
      <c r="B17" s="19" t="s">
        <v>95</v>
      </c>
      <c r="C17" s="19" t="str">
        <f>_xlfn.XLOOKUP(A17,'Abstracts List'!A:A,'Abstracts List'!C:C)</f>
        <v>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v>
      </c>
      <c r="D17" s="22">
        <v>18</v>
      </c>
      <c r="E17" s="19" t="s">
        <v>44</v>
      </c>
      <c r="F17" s="22" t="s">
        <v>97</v>
      </c>
      <c r="G17" s="22" cm="1">
        <f t="array" ref="G17">_xlfn.XLOOKUP(D17, 'Question context'!$C$2:$C$49, _xlfn.XLOOKUP(A17, 'Question context'!$E$1:$Y$1, 'Question context'!$E$2:$Y$49))</f>
        <v>2</v>
      </c>
      <c r="H17" s="22" t="s">
        <v>107</v>
      </c>
      <c r="I17" s="22" t="s">
        <v>152</v>
      </c>
      <c r="J17" s="19" t="s">
        <v>153</v>
      </c>
      <c r="K17" s="19" t="s">
        <v>154</v>
      </c>
    </row>
    <row r="18" spans="1:11" ht="342" customHeight="1" x14ac:dyDescent="0.25">
      <c r="A18" s="22">
        <v>212</v>
      </c>
      <c r="B18" s="19" t="s">
        <v>142</v>
      </c>
      <c r="C18" s="19" t="str">
        <f>_xlfn.XLOOKUP(A18,'Abstracts List'!A:A,'Abstracts List'!C:C)</f>
        <v>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v>
      </c>
      <c r="D18" s="22">
        <v>9</v>
      </c>
      <c r="E18" s="19" t="s">
        <v>30</v>
      </c>
      <c r="F18" s="22" t="s">
        <v>97</v>
      </c>
      <c r="G18" s="22" cm="1">
        <f t="array" ref="G18">_xlfn.XLOOKUP(D18, 'Question context'!$C$2:$C$49, _xlfn.XLOOKUP(A18, 'Question context'!$E$1:$Y$1, 'Question context'!$E$2:$Y$49))</f>
        <v>2</v>
      </c>
      <c r="H18" s="22" t="s">
        <v>107</v>
      </c>
      <c r="I18" s="22"/>
      <c r="J18" s="19" t="s">
        <v>155</v>
      </c>
      <c r="K18" s="19" t="s">
        <v>156</v>
      </c>
    </row>
    <row r="19" spans="1:11" ht="210" x14ac:dyDescent="0.25">
      <c r="A19" s="22">
        <v>281</v>
      </c>
      <c r="B19" s="19" t="s">
        <v>157</v>
      </c>
      <c r="C19" s="19" t="str">
        <f>_xlfn.XLOOKUP(A19,'Abstracts List'!A:A,'Abstracts List'!C:C)</f>
        <v>Energy storage (ES) is a kind of promising but costly fast-frequency-response (FFR) resource in low-inertia power systems. This article addresses the minimum demand of a power system for energy capacities of ES to providing sufficient frequency support, including the formulation, the optimal solution, and its practical implementation. First, the minimum energy control problem of ESs for providing FFR with transient frequency constraints is formulated and then converted into an optimal frequency trajectory planning counterpart. This transformation makes the transient frequency constraint tractable and allows to identify the optimal frequency trajectory that minimizes energy demand for ESs, which leads to an analytical expression of the system minimum demand for ESs energy capacities to ensure frequency security. Moreover, by unfolding the optimal frequency trajectory, the optimal control strategy of ESs is derived explicitly for the first time. The theoretical result directs to a practical controller implementation, which is referred to as the decentralized optimal energy frequency control (DOEFC). Finally, simulations on the modified IEEE 39-bus system verify our results and demonstrate the superiority of the DOEFC in reducing the energy capacity demand of ESs, defending successive disturbances, and hedging against parameter errors.</v>
      </c>
      <c r="D19" s="22">
        <v>36</v>
      </c>
      <c r="E19" s="19" t="s">
        <v>158</v>
      </c>
      <c r="F19" s="22" t="s">
        <v>97</v>
      </c>
      <c r="G19" s="22" cm="1">
        <f t="array" ref="G19">_xlfn.XLOOKUP(D19, 'Question context'!$C$2:$C$49, _xlfn.XLOOKUP(A19, 'Question context'!$E$1:$Y$1, 'Question context'!$E$2:$Y$49))</f>
        <v>3</v>
      </c>
      <c r="H19" s="22" t="s">
        <v>107</v>
      </c>
      <c r="I19" s="22"/>
      <c r="J19" s="19" t="s">
        <v>159</v>
      </c>
      <c r="K19" s="19" t="s">
        <v>160</v>
      </c>
    </row>
    <row r="20" spans="1:11" ht="180" x14ac:dyDescent="0.25">
      <c r="A20" s="22">
        <v>1</v>
      </c>
      <c r="B20" s="19" t="s">
        <v>2</v>
      </c>
      <c r="C20" s="19" t="str">
        <f>_xlfn.XLOOKUP(A20,'Abstracts List'!A:A,'Abstracts List'!C:C)</f>
        <v>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v>
      </c>
      <c r="D20" s="22">
        <v>42</v>
      </c>
      <c r="E20" s="19" t="s">
        <v>148</v>
      </c>
      <c r="F20" s="22" t="s">
        <v>97</v>
      </c>
      <c r="G20" s="22" cm="1">
        <f t="array" ref="G20">_xlfn.XLOOKUP(D20, 'Question context'!$C$2:$C$49, _xlfn.XLOOKUP(A20, 'Question context'!$E$1:$Y$1, 'Question context'!$E$2:$Y$49))</f>
        <v>2</v>
      </c>
      <c r="H20" s="22" t="s">
        <v>107</v>
      </c>
      <c r="I20" s="22"/>
      <c r="J20" s="19" t="s">
        <v>161</v>
      </c>
      <c r="K20" s="19" t="s">
        <v>162</v>
      </c>
    </row>
    <row r="21" spans="1:11" ht="348.75" customHeight="1" x14ac:dyDescent="0.25">
      <c r="A21" s="22">
        <v>146</v>
      </c>
      <c r="B21" s="19" t="s">
        <v>163</v>
      </c>
      <c r="C21" s="19" t="str">
        <f>_xlfn.XLOOKUP(A21,'Abstracts List'!A:A,'Abstracts List'!C:C)</f>
        <v>Topology diagrams are widely seen in power system applications, but their automatic generation is often easier said than done. When facing power transmission systems with strongly-meshed structures, existing approaches can hardly produce topology diagrams catering to the aesthetics of readers. This paper proposes an integrated framework for generating aesthetically-pleasing topology diagrams for power transmission systems. Input with a rough layout, the framework first conducts visibility region analysis to reduce line crossings and then solves a mixed-integer linear programming problem to optimize the arrangement of nodes. Given that the complexity of both modules is pretty high, simplification heuristics are also proposed to enhance the efficiency of the framework. Case studies on several power transmission systems containing up to 2,046 nodes demonstrate the capability of the proposed framework in generating topology diagrams conforming to aesthetic criteria in the power system community. Compared with the widespread force-directed algorithm, the proposed framework can preserve the relative positions of nodes in the original layout to a great extent, which significantly contributes to the identification of electrical elements on the diagrams. Meanwhile, the time consumption is acceptable for practical applications.</v>
      </c>
      <c r="D21" s="22">
        <v>26</v>
      </c>
      <c r="E21" s="19" t="s">
        <v>57</v>
      </c>
      <c r="F21" s="22" t="s">
        <v>107</v>
      </c>
      <c r="G21" s="22" cm="1">
        <f t="array" ref="G21">_xlfn.XLOOKUP(D21, 'Question context'!$C$2:$C$49, _xlfn.XLOOKUP(A21, 'Question context'!$E$1:$Y$1, 'Question context'!$E$2:$Y$49))</f>
        <v>4</v>
      </c>
      <c r="H21" s="22" t="s">
        <v>107</v>
      </c>
      <c r="I21" s="22" t="s">
        <v>164</v>
      </c>
      <c r="J21" s="19" t="s">
        <v>165</v>
      </c>
      <c r="K21" s="19"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897C7-38B4-4948-9EF0-6CE484D88868}">
  <dimension ref="A1:G21"/>
  <sheetViews>
    <sheetView topLeftCell="C1" workbookViewId="0">
      <pane ySplit="1" topLeftCell="A10" activePane="bottomLeft" state="frozen"/>
      <selection pane="bottomLeft" activeCell="G2" sqref="G2"/>
    </sheetView>
  </sheetViews>
  <sheetFormatPr defaultRowHeight="15" x14ac:dyDescent="0.25"/>
  <cols>
    <col min="1" max="1" width="11.42578125" customWidth="1"/>
    <col min="2" max="2" width="57.140625" customWidth="1"/>
    <col min="3" max="3" width="11.42578125" customWidth="1"/>
    <col min="4" max="4" width="13.28515625" customWidth="1"/>
    <col min="5" max="6" width="57.140625" customWidth="1"/>
    <col min="7" max="7" width="49.5703125" customWidth="1"/>
  </cols>
  <sheetData>
    <row r="1" spans="1:7" ht="30" customHeight="1" x14ac:dyDescent="0.25">
      <c r="A1" s="28" t="s">
        <v>0</v>
      </c>
      <c r="B1" s="28" t="s">
        <v>3</v>
      </c>
      <c r="C1" s="28" t="s">
        <v>87</v>
      </c>
      <c r="D1" s="28" t="s">
        <v>90</v>
      </c>
      <c r="E1" s="28" t="s">
        <v>93</v>
      </c>
      <c r="F1" s="28" t="s">
        <v>94</v>
      </c>
      <c r="G1" s="28" t="s">
        <v>167</v>
      </c>
    </row>
    <row r="2" spans="1:7" ht="120" customHeight="1" x14ac:dyDescent="0.25">
      <c r="A2" s="19">
        <f>Rationale!A2</f>
        <v>65</v>
      </c>
      <c r="B2" s="19" t="str">
        <f>_xlfn.XLOOKUP(Rationale_clean!A2,'Abstracts List'!A:A,'Abstracts List'!G:G)</f>
        <v>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v>
      </c>
      <c r="C2" s="19">
        <f>Rationale!D2</f>
        <v>12</v>
      </c>
      <c r="D2" s="19">
        <f>Rationale!G2</f>
        <v>1</v>
      </c>
      <c r="E2" s="19" t="s">
        <v>590</v>
      </c>
      <c r="F2" s="19" t="s">
        <v>609</v>
      </c>
      <c r="G2" s="19" t="s">
        <v>627</v>
      </c>
    </row>
    <row r="3" spans="1:7" ht="120" customHeight="1" x14ac:dyDescent="0.25">
      <c r="A3" s="19">
        <f>Rationale!A3</f>
        <v>94</v>
      </c>
      <c r="B3" s="19" t="str">
        <f>_xlfn.XLOOKUP(Rationale_clean!A3,'Abstracts List'!A:A,'Abstracts List'!G:G)</f>
        <v>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v>
      </c>
      <c r="C3" s="19">
        <f>Rationale!D3</f>
        <v>13</v>
      </c>
      <c r="D3" s="19">
        <f>Rationale!G3</f>
        <v>1</v>
      </c>
      <c r="E3" s="19" t="s">
        <v>591</v>
      </c>
      <c r="F3" s="19" t="s">
        <v>610</v>
      </c>
      <c r="G3" s="19" t="s">
        <v>628</v>
      </c>
    </row>
    <row r="4" spans="1:7" ht="120" customHeight="1" x14ac:dyDescent="0.25">
      <c r="A4" s="19">
        <f>Rationale!A4</f>
        <v>194</v>
      </c>
      <c r="B4" s="19" t="str">
        <f>_xlfn.XLOOKUP(Rationale_clean!A4,'Abstracts List'!A:A,'Abstracts List'!G:G)</f>
        <v>proactive participation of uncertain renewable generation in the day-ahead (da) wholesale market effectively reduces the system marginal price and carbon emissions, whilst significantly increasing the volumes of real-time balancing mechanism prices to ensure system security and stability. to solve the conflicting interests over the two timescales, this article: 1) proposes a novel hierarchical optimization model to align with the actual operation paradigms of the hierarchical market, whereby the capacity allocation matrix is adopted to coordinate the da and balancing markets; 2) mathematically formulates and quantitatively analyses the long-term driving factors of balancing actions, enabling system operators (sos) to design efficient and well-functioning market structures to meet economic and environmental targets; 3) empowers renewable generating units and flexible loads to participate in the balancing market (bm) as active actors and enforces the non-discriminatory provision of balancing services. the performance of the proposed model is validated on a modified ieee 39-bus power system and a reduced gb network. results reveal that with effective resource allocation in different timescales of the hierarchical market, the drop speed of balancing costs soars while the intermittent generation climbs. the proposed methodology enables sos to make the most of all resources available in the market and balance the system flexibly and economically. it thus safeguards the climate mitigation pathways against the risks of substantially higher balancing costs.</v>
      </c>
      <c r="C4" s="19">
        <f>Rationale!D4</f>
        <v>35</v>
      </c>
      <c r="D4" s="19">
        <f>Rationale!G4</f>
        <v>1</v>
      </c>
      <c r="E4" s="19" t="s">
        <v>592</v>
      </c>
      <c r="F4" s="19" t="s">
        <v>611</v>
      </c>
      <c r="G4" s="19" t="s">
        <v>629</v>
      </c>
    </row>
    <row r="5" spans="1:7" ht="120" customHeight="1" x14ac:dyDescent="0.25">
      <c r="A5" s="19">
        <f>Rationale!A5</f>
        <v>44</v>
      </c>
      <c r="B5" s="19" t="str">
        <f>_xlfn.XLOOKUP(Rationale_clean!A5,'Abstracts List'!A:A,'Abstracts List'!G:G)</f>
        <v>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v>
      </c>
      <c r="C5" s="19">
        <f>Rationale!D5</f>
        <v>3</v>
      </c>
      <c r="D5" s="19">
        <f>Rationale!G5</f>
        <v>1</v>
      </c>
      <c r="E5" s="19" t="s">
        <v>593</v>
      </c>
      <c r="F5" s="19" t="s">
        <v>612</v>
      </c>
      <c r="G5" s="19" t="s">
        <v>630</v>
      </c>
    </row>
    <row r="6" spans="1:7" ht="120" customHeight="1" x14ac:dyDescent="0.25">
      <c r="A6" s="19">
        <f>Rationale!A6</f>
        <v>81</v>
      </c>
      <c r="B6" s="19" t="str">
        <f>_xlfn.XLOOKUP(Rationale_clean!A6,'Abstracts List'!A:A,'Abstracts List'!G:G)</f>
        <v>the deployment of prosumers with distributed energy resources (ders) has facilitated the prosumer-centric transactive market, giving rise to the consequent necessity for the coordination between prosumers and the distribution networks. this paper proposes an incentive-based expansion planning method considering virtual peer-to-peer (p2p) transaction among prosumers, which is characterized as a tri-level planning-operation-transaction framework. each prosumer optimizes its internal response of ders and external p2p transaction jointly, formulating virtual p2p transaction. under such a paradigm, the distribution company (disco) identifies the optimal expansion planning in the network assets, while the independent distribution system operator (idso) is responsible for the optimal operation of the expanded distribution networks. to derive appropriate incentives for each prosumer, the disco and idso allocate long-term investment network charges and short-term operation network charges on prosumers, along with the designed financial transmission rights coupling multiple time scales. through such incentives, self-profit driven virtual transactions can relieve operation problems and postpone expansion planning, acting as a short-term alternative. moreover, a risk-based approach is proposed for prosumer to flexibly change strategy according to different risk preference. finally, results from the case study demonstrate the superiority and effectiveness of the proposed method in the collaborative application of virtual transaction in the expansion planning.</v>
      </c>
      <c r="C6" s="19">
        <f>Rationale!D6</f>
        <v>13</v>
      </c>
      <c r="D6" s="19">
        <f>Rationale!G6</f>
        <v>1</v>
      </c>
      <c r="E6" s="19" t="s">
        <v>594</v>
      </c>
      <c r="F6" s="19" t="s">
        <v>613</v>
      </c>
      <c r="G6" s="19" t="s">
        <v>631</v>
      </c>
    </row>
    <row r="7" spans="1:7" ht="120" customHeight="1" x14ac:dyDescent="0.25">
      <c r="A7" s="19">
        <f>Rationale!A7</f>
        <v>241</v>
      </c>
      <c r="B7" s="19" t="str">
        <f>_xlfn.XLOOKUP(Rationale_clean!A7,'Abstracts List'!A:A,'Abstracts List'!G:G)</f>
        <v>accurate wind power forecast (wpf) is critical for ensuring secure and economic operation of a power system, and combination forecasting approaches for wpf have been proved effective on attaining accurate forecasting results. however, the weights in a combination forecasting model are usually predetermined based on the global performance on the training set, limiting the adaptability of the model to different scenarios. to further enhance the accuracy and effectiveness of the combination forecasting approaches, this article proposes an adaptive weighted combination forecasting approach based on the deep deterministic policy gradient (ddpg) so as to consider the local behavior accompanied by the change of external environment. three sub-models are first selected considering the equal-likelihood and dispersion indices to construct a combination model. then, the ddpg agent is trained to act as a weight generator by interacting with the environment and to maximize the reward. thus, the ddpg agent can perceive the environmental changes online and dynamically weight the sub-models to attain accurate forecasting results. case studies demonstrate that the forecasting accuracy of the proposed approach is better than that of all sub-models and several benchmark combination forecasting approaches.</v>
      </c>
      <c r="C7" s="19">
        <f>Rationale!D7</f>
        <v>27</v>
      </c>
      <c r="D7" s="19">
        <f>Rationale!G7</f>
        <v>1</v>
      </c>
      <c r="E7" s="19" t="s">
        <v>588</v>
      </c>
      <c r="F7" s="19" t="s">
        <v>168</v>
      </c>
      <c r="G7" s="19" t="s">
        <v>589</v>
      </c>
    </row>
    <row r="8" spans="1:7" ht="120" customHeight="1" x14ac:dyDescent="0.25">
      <c r="A8" s="19">
        <f>Rationale!A8</f>
        <v>94</v>
      </c>
      <c r="B8" s="19" t="str">
        <f>_xlfn.XLOOKUP(Rationale_clean!A8,'Abstracts List'!A:A,'Abstracts List'!G:G)</f>
        <v>with the increasing deployment of distributed energy resources (ders), dispatching ders subject to operational constraints in distribution networks draws much attention. one challenge is the non-convexities in 1) system-wide ac power flow constraints and 2) the individual complementarity constraint of energy storage. to resolve this challenge, this paper studies an ac-feasible linear model in distribution networks with energy storage, including its formulation, analysis, and applications. first, an ac-feasible linear model is formulated as a set of linear constraints on controllable ders and uncontrollable power demand by 1) converting the non-convex system-wide constraints into linear constraints based on the brouwers fixed-point theorem and the second-order taylor expansion, and 2) replacing the non-convex individual complementarity constraint of energy storage with one properly designed linear constraint. furthermore, to analyze the power demand level at which the proposed linear model can provide a solution, this paper proposes an examination-based projection method under the monte carlo framework to handle projections of thousands of dimensions from linear constraints over time periods. finally, the potential applications of our ac-feasible linear model are discussed. numerical experiments are conducted in the ieee 33-bus and 136-bus test systems to demonstrate the effectiveness of the proposed methods.</v>
      </c>
      <c r="C8" s="19">
        <f>Rationale!D8</f>
        <v>12</v>
      </c>
      <c r="D8" s="19">
        <f>Rationale!G8</f>
        <v>1</v>
      </c>
      <c r="E8" s="19" t="s">
        <v>595</v>
      </c>
      <c r="F8" s="19" t="s">
        <v>614</v>
      </c>
      <c r="G8" s="19" t="s">
        <v>632</v>
      </c>
    </row>
    <row r="9" spans="1:7" ht="120" customHeight="1" x14ac:dyDescent="0.25">
      <c r="A9" s="19">
        <f>Rationale!A9</f>
        <v>45</v>
      </c>
      <c r="B9" s="19" t="str">
        <f>_xlfn.XLOOKUP(Rationale_clean!A9,'Abstracts List'!A:A,'Abstracts List'!G:G)</f>
        <v>this paper proposes a new time aggregation method that can properly reflect the spatial aspect of the data sources alongside their temporal behaviour when multiple variable energy resources are involved. each representative period, constructed by the proposed method, can include more than one representative day, which, in itself, represents a group of data sources that are highly associated with each other. it also preserves the spatial relationship among data sources as a whole by constructing a hybrid centroid. two case studies, each with different data sources and networks, with and without energy storage, are considered for this study. in the second case, we add an storage to reflect the significance of preserving shape of patterns in the representative periods. the duration curves of wind farms and solar farms generations, electricity demand, and net demand are used as data-based evaluation indices to compare the performance of the proposed method against other approaches. in addition, an ieee 24-bus and a 6-bus test system are considered for the case studies. two model-based evaluation indices are used to measure the performance of the clustering methods, including the power flow of all the lines in the system and the annual operation cost of the system. in addition, the performance of the proposed method in the presence of energy storage is evaluated and compared with existing methods.</v>
      </c>
      <c r="C9" s="19">
        <f>Rationale!D9</f>
        <v>12</v>
      </c>
      <c r="D9" s="19">
        <f>Rationale!G9</f>
        <v>1</v>
      </c>
      <c r="E9" s="19" t="s">
        <v>596</v>
      </c>
      <c r="F9" s="19" t="s">
        <v>615</v>
      </c>
      <c r="G9" s="19" t="s">
        <v>633</v>
      </c>
    </row>
    <row r="10" spans="1:7" ht="120" customHeight="1" x14ac:dyDescent="0.25">
      <c r="A10" s="19">
        <f>Rationale!A10</f>
        <v>228</v>
      </c>
      <c r="B10" s="19" t="str">
        <f>_xlfn.XLOOKUP(Rationale_clean!A10,'Abstracts List'!A:A,'Abstracts List'!G:G)</f>
        <v>deep penetration of distributed energy resources (ders) and electric vehicles (evs) introduce benefits but may cause the overloading of service transformers in distribution networks. such situations require real-time transformer loading information, where an accurate mapping between smart meters and distribution transformers is a prerequisite, e.g., summing the downstream smart meter consumptions. due to arbitrary curvature in streets, we propose to employ a density-based clustering based on voltage magnitudes (continuous) and street name (categorical) information. however, a density-based approach may only be able to localize a meter to a street segment. hence, we use a second-stage spectral clustering with distance along the street (das), a novel feature, to obtain meter clusters, each with a common parent transformer. for mapping transformers to meter clusters, we use the nearest cluster center approach based on the location since voltage measurements may not be available at transformers. moreover, we provide a theoretical guarantee for such an approach. finally, we illustrate the usefulness of the proposed algorithm on long streets, which is a challenging scenario due to many possible incorrect combinations of meter-transformer mapping. the proposed algorithm has been tested on modified ieee 8-, 69-, 123-bus test systems and real distribution feeders from a utility in the southwestern united states, demonstrating outstanding performance.</v>
      </c>
      <c r="C10" s="19">
        <f>Rationale!D10</f>
        <v>15</v>
      </c>
      <c r="D10" s="19">
        <f>Rationale!G10</f>
        <v>1</v>
      </c>
      <c r="E10" s="19" t="s">
        <v>597</v>
      </c>
      <c r="F10" s="19" t="s">
        <v>616</v>
      </c>
      <c r="G10" s="19" t="s">
        <v>634</v>
      </c>
    </row>
    <row r="11" spans="1:7" ht="120" customHeight="1" x14ac:dyDescent="0.25">
      <c r="A11" s="19">
        <f>Rationale!A11</f>
        <v>134</v>
      </c>
      <c r="B11" s="19" t="str">
        <f>_xlfn.XLOOKUP(Rationale_clean!A11,'Abstracts List'!A:A,'Abstracts List'!G:G)</f>
        <v>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v>
      </c>
      <c r="C11" s="19">
        <f>Rationale!D11</f>
        <v>21</v>
      </c>
      <c r="D11" s="19">
        <f>Rationale!G11</f>
        <v>2</v>
      </c>
      <c r="E11" s="19" t="s">
        <v>598</v>
      </c>
      <c r="F11" s="19" t="s">
        <v>617</v>
      </c>
      <c r="G11" s="19" t="s">
        <v>635</v>
      </c>
    </row>
    <row r="12" spans="1:7" ht="120" customHeight="1" x14ac:dyDescent="0.25">
      <c r="A12" s="19">
        <f>Rationale!A12</f>
        <v>231</v>
      </c>
      <c r="B12" s="19" t="str">
        <f>_xlfn.XLOOKUP(Rationale_clean!A12,'Abstracts List'!A:A,'Abstracts List'!G:G)</f>
        <v>coordinated dispatch of integrated transmission-distribution systems (itds) continues to be a hotspot due to the growing demand-side flexibility. decentralized optimization, which has been widely studied, does not conform to the current hierarchical framework of power system operation. this paper proposes a centralized distributionally robust chance-constrained dispatch model for itds. the transmission system operator considers the flexible ranges of large-scale distributed energy resources (ders) in distribution systems via flexibility aggregation. a price-guided flexibility model is proposed to describe the temporally coupled aggregate flexibility of distribution systems. it is constructed by filtering those constraints with a high probability of activeness in the itd dispatch problem, reducing the number of constraints from quadratic to linear with the number of divided time slots while maintaining high accuracy. furthermore, we use the data-driven distributionally robust chance constraint to deal with the uncertainty from both renewable generations and the flexibility of ders. numerical simulations on ieee test systems verify the effectiveness of the proposed methods.</v>
      </c>
      <c r="C12" s="19">
        <f>Rationale!D12</f>
        <v>39</v>
      </c>
      <c r="D12" s="19">
        <f>Rationale!G12</f>
        <v>2</v>
      </c>
      <c r="E12" s="19" t="s">
        <v>599</v>
      </c>
      <c r="F12" s="19" t="s">
        <v>618</v>
      </c>
      <c r="G12" s="19" t="s">
        <v>636</v>
      </c>
    </row>
    <row r="13" spans="1:7" ht="120" customHeight="1" x14ac:dyDescent="0.25">
      <c r="A13" s="19">
        <f>Rationale!A13</f>
        <v>212</v>
      </c>
      <c r="B13" s="19" t="str">
        <f>_xlfn.XLOOKUP(Rationale_clean!A13,'Abstracts List'!A:A,'Abstracts List'!G:G)</f>
        <v>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v>
      </c>
      <c r="C13" s="19">
        <f>Rationale!D13</f>
        <v>4</v>
      </c>
      <c r="D13" s="19">
        <f>Rationale!G13</f>
        <v>2</v>
      </c>
      <c r="E13" s="19" t="s">
        <v>600</v>
      </c>
      <c r="F13" s="19" t="s">
        <v>619</v>
      </c>
      <c r="G13" s="19" t="s">
        <v>637</v>
      </c>
    </row>
    <row r="14" spans="1:7" ht="120" customHeight="1" x14ac:dyDescent="0.25">
      <c r="A14" s="19">
        <f>Rationale!A14</f>
        <v>44</v>
      </c>
      <c r="B14" s="19" t="str">
        <f>_xlfn.XLOOKUP(Rationale_clean!A14,'Abstracts List'!A:A,'Abstracts List'!G:G)</f>
        <v>when renewable energy-based generations are increasing, they are subject to cause frequency stability problems in a power system. to solve this problem, various virtual inertial control methods (vicms) have been recently developed. however, they all have dealt not with the steady-state frequency stability, but only with dynamic frequency stability issues. in particular, the wind power plants (wpps) operated by these vicms can only provide a similar inertial response (ir) to that by conventional synchronous generators without providing the primary frequency response (pfr). this results in lowering the settling frequency (sf) below the maximum steady-state frequency deviation (mssd) band. this paper proposes the new hierarchical control strategy for the wpps, which are operated by three virtual frequency response control methods (vfrcms) to provide both ir and pfr. firstly, the vfrcm-1 provides virtual ir. next, the vfrcm-2 increases the output power from the wpps to prevent the frequency drop, which can occur after the frequency nadir is arrested. finally, the vfrcm-3 makes the wpps possible to raise the sf above the mssd band by providing the virtual pfr. the effectiveness of proposed hierarchical control strategy is verified by several case studies on the ieee 39-bus test system with the high penetration of renewables.</v>
      </c>
      <c r="C14" s="19">
        <f>Rationale!D14</f>
        <v>4</v>
      </c>
      <c r="D14" s="19">
        <f>Rationale!G14</f>
        <v>2</v>
      </c>
      <c r="E14" s="19" t="s">
        <v>601</v>
      </c>
      <c r="F14" s="19" t="s">
        <v>620</v>
      </c>
      <c r="G14" s="19" t="s">
        <v>638</v>
      </c>
    </row>
    <row r="15" spans="1:7" ht="120" customHeight="1" x14ac:dyDescent="0.25">
      <c r="A15" s="19">
        <f>Rationale!A15</f>
        <v>174</v>
      </c>
      <c r="B15" s="19" t="str">
        <f>_xlfn.XLOOKUP(Rationale_clean!A15,'Abstracts List'!A:A,'Abstracts List'!G:G)</f>
        <v>increased penetration of renewable resources and new loads have increased the uncertainty levels in low voltage distribution systems (lvds). this requires considering lvds planning, such as computing photovoltaics (pv) hosting capacity (hc), as a stochastic problem. traditionally, pv hc is computed using the iterative monte carlo method, which requires solving the power flow equations thousands of times. this paper proposes a chance-constrained optimization-based hosting capacity calculation technique, which eliminates the necessity of repetitive solving of power flow equations. the intrusive general polynomial chaos expansion is used to translate the input uncertainties defined by their probability density function to the hosting capacity of the network without the necessity of sampling, linearizing the power flow equations, or applying any relaxations. chance constraints are applied for nodal voltages and thermal overload as per the norms, where the system can be congested for a certain time without affecting the power quality. numerical illustrations show the computational time to compute the stochastic pv hosting capacity of a real large scale lvds, and for the majority of the feeders, it falls within 100 sec. furthermore, the estimated pv hc using this stochastic optimal power flow was, on average, 20% higher than its deterministic counterpart.</v>
      </c>
      <c r="C15" s="19">
        <f>Rationale!D15</f>
        <v>42</v>
      </c>
      <c r="D15" s="19">
        <f>Rationale!G15</f>
        <v>2</v>
      </c>
      <c r="E15" s="19" t="s">
        <v>602</v>
      </c>
      <c r="F15" s="19"/>
      <c r="G15" s="19" t="s">
        <v>639</v>
      </c>
    </row>
    <row r="16" spans="1:7" ht="120" customHeight="1" x14ac:dyDescent="0.25">
      <c r="A16" s="19">
        <f>Rationale!A16</f>
        <v>134</v>
      </c>
      <c r="B16" s="19" t="str">
        <f>_xlfn.XLOOKUP(Rationale_clean!A16,'Abstracts List'!A:A,'Abstracts List'!G:G)</f>
        <v>power system congestion event prognosis (cep) based on multivariate time series (mts) learning is an effective way to improve the warning abilities against risky situations. however, it is still challenging to decide which measurement sequences of system variables should be selected to train mts learning-based ceps models, especially when facing high-dimensional candidate features from power systems. focusing on this issue, this paper proposes a novel high-dimensional feature selection (fs) method to identify and select variables that contain beneficial data patterns for the prognosis of network congestion events. a wrapper framework embedded with multiple mts learning models is first built to treat fs as a combinatorial optimization task and receive mts as inputs directly without sequence compressions. then, to improve the combinatorial optimization efficiency and fs results in the high-dimensional case, a hybrid structure called enhanced evolutionary computation (eec) is developed by combining with information theory-based feature priority scores, which play the role of semi-guidance in the iterative search. test results on both the real-world and synthetic datasets validate the effectiveness of the developed eec structure and show that the selected features by the proposed fs method are more beneficial in identifying the early patterns of network congestion events, thus contributing to efficient and accurate cep for power systems.</v>
      </c>
      <c r="C16" s="19">
        <f>Rationale!D16</f>
        <v>23</v>
      </c>
      <c r="D16" s="19">
        <f>Rationale!G16</f>
        <v>2</v>
      </c>
      <c r="E16" s="19" t="s">
        <v>603</v>
      </c>
      <c r="F16" s="19" t="s">
        <v>621</v>
      </c>
      <c r="G16" s="19" t="s">
        <v>640</v>
      </c>
    </row>
    <row r="17" spans="1:7" ht="120" customHeight="1" x14ac:dyDescent="0.25">
      <c r="A17" s="19">
        <f>Rationale!A17</f>
        <v>65</v>
      </c>
      <c r="B17" s="19" t="str">
        <f>_xlfn.XLOOKUP(Rationale_clean!A17,'Abstracts List'!A:A,'Abstracts List'!G:G)</f>
        <v>the integration of numerous energy storage systems (esss) improves the reliable and economic operation of microgrids but also enlarges the burden of control and communication systems. this article proposes a cooperative hierarchical control for isolated microgrids with esss, which fully frees from the centralized paradigm and is therefore superior in flexibility and scalability. firstly, the ess cooperative control based on the distributed frequency controller is introduced for the state of charge (soc) balance and the frequency regulation. then, the ess aggregation is considered. the aggregated ess model is established and the real-time model parameters are derived by proposed distributed state observers. finally, energy management is employed to allocate the output power between generators and the aggregated ess. a detailed theoretical analysis of the dynamic and steady-state performance of proposed controllers and observers is provided. simulations on the ieee 33-bus and the 69-bus system verify the effectiveness of proposed methods.</v>
      </c>
      <c r="C17" s="19">
        <f>Rationale!D17</f>
        <v>18</v>
      </c>
      <c r="D17" s="19">
        <f>Rationale!G17</f>
        <v>2</v>
      </c>
      <c r="E17" s="19" t="s">
        <v>604</v>
      </c>
      <c r="F17" s="19" t="s">
        <v>622</v>
      </c>
      <c r="G17" s="19" t="s">
        <v>641</v>
      </c>
    </row>
    <row r="18" spans="1:7" ht="120" customHeight="1" x14ac:dyDescent="0.25">
      <c r="A18" s="19">
        <f>Rationale!A18</f>
        <v>212</v>
      </c>
      <c r="B18" s="19" t="str">
        <f>_xlfn.XLOOKUP(Rationale_clean!A18,'Abstracts List'!A:A,'Abstracts List'!G:G)</f>
        <v>this article investigates the maximum transferable power (mtp) of inverter-based resources (ibrs) and provides the output capability curves (occs) of grid-tied grid-following inverters (gflis) and grid-forming inverters (gfmis). to this end, in the first part of the article, mathematical equations for gfli static, thermal, and phase-locked loop (pll)-induced power transfer limits are derived in terms of the grid short-circuit ratio (scr) and its x/r ratio. then, considering other operational limitations, such as the ibr ac- and dc-side voltage limits, the occ of the gfli is obtained. additionally, the impact of the reactive current and the reactive control mode on the occ is further studied, and accordingly, an auxiliary control loop is proposed to maximize the gfli mtp. in the second part of the article, a similar approach is employed to derive mathematical equations for gfmi static and thermal limits, and accordingly, the occ of a gfmi is obtained. the effects of the variation of the voltage set-point of the gfmi on its occ are then studied, and the superiority of gfmis compared to gflis is shown in terms of the mtp capability. eventually, several simulation and experimental cases are conducted to validate the obtained equations and occs for both grid-following and grid-forming control modes.</v>
      </c>
      <c r="C18" s="19">
        <f>Rationale!D18</f>
        <v>9</v>
      </c>
      <c r="D18" s="19">
        <f>Rationale!G18</f>
        <v>2</v>
      </c>
      <c r="E18" s="19" t="s">
        <v>605</v>
      </c>
      <c r="F18" s="19" t="s">
        <v>623</v>
      </c>
      <c r="G18" s="19" t="s">
        <v>642</v>
      </c>
    </row>
    <row r="19" spans="1:7" ht="120" customHeight="1" x14ac:dyDescent="0.25">
      <c r="A19" s="19">
        <f>Rationale!A19</f>
        <v>281</v>
      </c>
      <c r="B19" s="19" t="str">
        <f>_xlfn.XLOOKUP(Rationale_clean!A19,'Abstracts List'!A:A,'Abstracts List'!G:G)</f>
        <v>energy storage (es) is a kind of promising but costly fast-frequency-response (ffr) resource in low-inertia power systems. this article addresses the minimum demand of a power system for energy capacities of es to providing sufficient frequency support, including the formulation, the optimal solution, and its practical implementation. first, the minimum energy control problem of ess for providing ffr with transient frequency constraints is formulated and then converted into an optimal frequency trajectory planning counterpart. this transformation makes the transient frequency constraint tractable and allows to identify the optimal frequency trajectory that minimizes energy demand for ess, which leads to an analytical expression of the system minimum demand for ess energy capacities to ensure frequency security. moreover, by unfolding the optimal frequency trajectory, the optimal control strategy of ess is derived explicitly for the first time. the theoretical result directs to a practical controller implementation, which is referred to as the decentralized optimal energy frequency control (doefc). finally, simulations on the modified ieee 39-bus system verify our results and demonstrate the superiority of the doefc in reducing the energy capacity demand of ess, defending successive disturbances, and hedging against parameter errors.</v>
      </c>
      <c r="C19" s="19">
        <f>Rationale!D19</f>
        <v>36</v>
      </c>
      <c r="D19" s="19">
        <f>Rationale!G19</f>
        <v>3</v>
      </c>
      <c r="E19" s="19" t="s">
        <v>606</v>
      </c>
      <c r="F19" s="19" t="s">
        <v>624</v>
      </c>
      <c r="G19" s="19" t="s">
        <v>643</v>
      </c>
    </row>
    <row r="20" spans="1:7" ht="120" customHeight="1" x14ac:dyDescent="0.25">
      <c r="A20" s="19">
        <f>Rationale!A20</f>
        <v>1</v>
      </c>
      <c r="B20" s="19" t="str">
        <f>_xlfn.XLOOKUP(Rationale_clean!A20,'Abstracts List'!A:A,'Abstracts List'!G:G)</f>
        <v>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v>
      </c>
      <c r="C20" s="19">
        <f>Rationale!D20</f>
        <v>42</v>
      </c>
      <c r="D20" s="19">
        <f>Rationale!G20</f>
        <v>2</v>
      </c>
      <c r="E20" s="19" t="s">
        <v>607</v>
      </c>
      <c r="F20" s="19" t="s">
        <v>625</v>
      </c>
      <c r="G20" s="19" t="s">
        <v>644</v>
      </c>
    </row>
    <row r="21" spans="1:7" ht="120" customHeight="1" x14ac:dyDescent="0.25">
      <c r="A21" s="19">
        <f>Rationale!A21</f>
        <v>146</v>
      </c>
      <c r="B21" s="19" t="str">
        <f>_xlfn.XLOOKUP(Rationale_clean!A21,'Abstracts List'!A:A,'Abstracts List'!G:G)</f>
        <v>topology diagrams are widely seen in power system applications, but their automatic generation is often easier said than done. when facing power transmission systems with strongly-meshed structures, existing approaches can hardly produce topology diagrams catering to the aesthetics of readers. this paper proposes an integrated framework for generating aesthetically-pleasing topology diagrams for power transmission systems. input with a rough layout, the framework first conducts visibility region analysis to reduce line crossings and then solves a mixed-integer linear programming problem to optimize the arrangement of nodes. given that the complexity of both modules is pretty high, simplification heuristics are also proposed to enhance the efficiency of the framework. case studies on several power transmission systems containing up to 2,046 nodes demonstrate the capability of the proposed framework in generating topology diagrams conforming to aesthetic criteria in the power system community. compared with the widespread force-directed algorithm, the proposed framework can preserve the relative positions of nodes in the original layout to a great extent, which significantly contributes to the identification of electrical elements on the diagrams. meanwhile, the time consumption is acceptable for practical applications.</v>
      </c>
      <c r="C21" s="19">
        <f>Rationale!D21</f>
        <v>26</v>
      </c>
      <c r="D21" s="19">
        <f>Rationale!G21</f>
        <v>4</v>
      </c>
      <c r="E21" s="19" t="s">
        <v>608</v>
      </c>
      <c r="F21" s="19" t="s">
        <v>626</v>
      </c>
      <c r="G21" s="19" t="s">
        <v>645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L100"/>
  <sheetViews>
    <sheetView workbookViewId="0">
      <selection activeCell="B1" sqref="B1"/>
    </sheetView>
  </sheetViews>
  <sheetFormatPr defaultRowHeight="15" x14ac:dyDescent="0.25"/>
  <cols>
    <col min="1" max="1" width="17.85546875" bestFit="1" customWidth="1"/>
    <col min="2" max="2" width="8.42578125" bestFit="1" customWidth="1"/>
    <col min="3" max="3" width="15" bestFit="1" customWidth="1"/>
    <col min="4" max="4" width="50.7109375" bestFit="1" customWidth="1"/>
    <col min="5" max="5" width="104.85546875" bestFit="1" customWidth="1"/>
    <col min="6" max="6" width="8.140625" bestFit="1" customWidth="1"/>
    <col min="7" max="7" width="18.42578125" customWidth="1"/>
    <col min="8" max="8" width="19.140625" customWidth="1"/>
    <col min="9" max="9" width="11.85546875" bestFit="1" customWidth="1"/>
    <col min="10" max="10" width="9.140625" customWidth="1"/>
    <col min="11" max="11" width="8.42578125" bestFit="1" customWidth="1"/>
    <col min="12" max="12" width="255.5703125" bestFit="1" customWidth="1"/>
  </cols>
  <sheetData>
    <row r="1" spans="1:12" x14ac:dyDescent="0.25">
      <c r="A1" t="s">
        <v>169</v>
      </c>
      <c r="B1" t="s">
        <v>10</v>
      </c>
      <c r="C1" t="s">
        <v>170</v>
      </c>
      <c r="D1" t="s">
        <v>171</v>
      </c>
      <c r="E1" t="s">
        <v>10</v>
      </c>
      <c r="F1" t="s">
        <v>172</v>
      </c>
      <c r="H1" t="s">
        <v>173</v>
      </c>
      <c r="I1" t="s">
        <v>174</v>
      </c>
      <c r="K1" t="s">
        <v>10</v>
      </c>
      <c r="L1" t="s">
        <v>175</v>
      </c>
    </row>
    <row r="2" spans="1:12" x14ac:dyDescent="0.25">
      <c r="A2" s="14" t="s">
        <v>16</v>
      </c>
      <c r="B2" s="14">
        <v>1</v>
      </c>
      <c r="C2" s="14" t="s">
        <v>176</v>
      </c>
      <c r="D2" s="14" t="s">
        <v>177</v>
      </c>
      <c r="E2" s="14" t="s">
        <v>178</v>
      </c>
      <c r="F2" s="14" t="s">
        <v>179</v>
      </c>
      <c r="H2" t="str">
        <f>B2&amp;" - "&amp; _xlfn.XLOOKUP(B2,$K$2:$K$49,$L$2:$L$49)</f>
        <v xml:space="preserve">1 - What is the future of active power balance as the synchronous generation fraction reduces? For example, might tightened or loosened frequency (or similar proxy for active power balance) limits lead to a more reliable, secure, lower-cost IBR-based power system? </v>
      </c>
      <c r="I2" t="s">
        <v>16</v>
      </c>
      <c r="K2">
        <v>1</v>
      </c>
      <c r="L2" t="s">
        <v>18</v>
      </c>
    </row>
    <row r="3" spans="1:12" x14ac:dyDescent="0.25">
      <c r="A3" s="14" t="s">
        <v>16</v>
      </c>
      <c r="B3" s="14">
        <v>2</v>
      </c>
      <c r="C3" s="14" t="s">
        <v>176</v>
      </c>
      <c r="D3" s="14" t="s">
        <v>177</v>
      </c>
      <c r="E3" s="14" t="s">
        <v>180</v>
      </c>
      <c r="F3" s="14" t="s">
        <v>179</v>
      </c>
      <c r="H3" t="str">
        <f t="shared" ref="H3:H66" si="0">B3&amp;" - "&amp; _xlfn.XLOOKUP(B3,$K$2:$K$49,$L$2:$L$49)</f>
        <v xml:space="preserve">2 - How will protection systems need to change to accommodate high penetrations of IBRs, and what possible actions might an inverter take during a fault that would help fault detection and location? </v>
      </c>
      <c r="I3" t="s">
        <v>25</v>
      </c>
      <c r="K3">
        <v>2</v>
      </c>
      <c r="L3" t="s">
        <v>19</v>
      </c>
    </row>
    <row r="4" spans="1:12" x14ac:dyDescent="0.25">
      <c r="A4" s="14" t="s">
        <v>16</v>
      </c>
      <c r="B4" s="14">
        <v>3</v>
      </c>
      <c r="C4" s="14" t="s">
        <v>176</v>
      </c>
      <c r="D4" s="14" t="s">
        <v>177</v>
      </c>
      <c r="E4" s="14" t="s">
        <v>181</v>
      </c>
      <c r="F4" s="14" t="s">
        <v>179</v>
      </c>
      <c r="H4" t="str">
        <f t="shared" si="0"/>
        <v xml:space="preserve">3 - How could the IBR control paradigm change from replicating synchronous machines to exploiting wider IBR flexibility without introducing integration challenges during the transition? </v>
      </c>
      <c r="I4" t="s">
        <v>182</v>
      </c>
      <c r="K4">
        <v>3</v>
      </c>
      <c r="L4" t="s">
        <v>20</v>
      </c>
    </row>
    <row r="5" spans="1:12" x14ac:dyDescent="0.25">
      <c r="A5" s="14" t="s">
        <v>16</v>
      </c>
      <c r="B5" s="14">
        <v>4</v>
      </c>
      <c r="C5" s="14" t="s">
        <v>183</v>
      </c>
      <c r="D5" s="14" t="s">
        <v>184</v>
      </c>
      <c r="E5" s="14" t="s">
        <v>185</v>
      </c>
      <c r="F5" s="14" t="s">
        <v>179</v>
      </c>
      <c r="H5" t="str">
        <f t="shared" si="0"/>
        <v xml:space="preserve">4 - What are the appropriate inverter capabilities and, consequently, control design methods for operation in grids with high percentages of IBRs, and are standard configurations and combinations of services helpful in simplifying operational decision-making? </v>
      </c>
      <c r="I5" t="s">
        <v>186</v>
      </c>
      <c r="K5">
        <v>4</v>
      </c>
      <c r="L5" t="s">
        <v>22</v>
      </c>
    </row>
    <row r="6" spans="1:12" x14ac:dyDescent="0.25">
      <c r="A6" s="14" t="s">
        <v>16</v>
      </c>
      <c r="B6" s="14">
        <v>5</v>
      </c>
      <c r="C6" s="14" t="s">
        <v>183</v>
      </c>
      <c r="D6" s="14" t="s">
        <v>184</v>
      </c>
      <c r="E6" s="14" t="s">
        <v>187</v>
      </c>
      <c r="F6" s="14" t="s">
        <v>179</v>
      </c>
      <c r="H6" t="str">
        <f t="shared" si="0"/>
        <v xml:space="preserve">5 - What recommendations for standard IBR frequency characteristics and responses should be identified to help system design? For example, should a contribution to damping be mandatory at certain frequencies? </v>
      </c>
      <c r="I6" t="s">
        <v>45</v>
      </c>
      <c r="K6">
        <v>5</v>
      </c>
      <c r="L6" t="s">
        <v>23</v>
      </c>
    </row>
    <row r="7" spans="1:12" x14ac:dyDescent="0.25">
      <c r="A7" s="14" t="s">
        <v>16</v>
      </c>
      <c r="B7" s="14">
        <v>6</v>
      </c>
      <c r="C7" s="14" t="s">
        <v>183</v>
      </c>
      <c r="D7" s="14" t="s">
        <v>184</v>
      </c>
      <c r="E7" s="14" t="s">
        <v>188</v>
      </c>
      <c r="F7" s="14" t="s">
        <v>179</v>
      </c>
      <c r="H7" t="str">
        <f t="shared" si="0"/>
        <v xml:space="preserve">6 - What requirements (e.g. impedance) should be placed on IBRs to control negative sequence currents for protection and harmonics suppression? </v>
      </c>
      <c r="I7" t="s">
        <v>189</v>
      </c>
      <c r="K7">
        <v>6</v>
      </c>
      <c r="L7" t="s">
        <v>24</v>
      </c>
    </row>
    <row r="8" spans="1:12" x14ac:dyDescent="0.25">
      <c r="A8" s="14" t="s">
        <v>16</v>
      </c>
      <c r="B8" s="14">
        <v>8</v>
      </c>
      <c r="C8" s="14" t="s">
        <v>190</v>
      </c>
      <c r="D8" s="14" t="s">
        <v>191</v>
      </c>
      <c r="E8" s="14" t="s">
        <v>192</v>
      </c>
      <c r="F8" s="14" t="s">
        <v>193</v>
      </c>
      <c r="H8" t="str">
        <f t="shared" si="0"/>
        <v xml:space="preserve">8 - What methods, including data types, and analyses can be used to identify the risk of poorly damped IBR-induced oscillations in planning studies and trace their root cause? </v>
      </c>
      <c r="I8" t="s">
        <v>11</v>
      </c>
      <c r="K8">
        <v>7</v>
      </c>
      <c r="L8" t="s">
        <v>27</v>
      </c>
    </row>
    <row r="9" spans="1:12" x14ac:dyDescent="0.25">
      <c r="A9" s="14" t="s">
        <v>16</v>
      </c>
      <c r="B9" s="14">
        <v>9</v>
      </c>
      <c r="C9" s="14" t="s">
        <v>190</v>
      </c>
      <c r="D9" s="14" t="s">
        <v>191</v>
      </c>
      <c r="E9" s="14" t="s">
        <v>194</v>
      </c>
      <c r="F9" s="14" t="s">
        <v>193</v>
      </c>
      <c r="H9" t="str">
        <f t="shared" si="0"/>
        <v xml:space="preserve">9 - What analytical tools and models should be provided to planners and operators for robust assessment of system performance in IBR-dominated power grids? </v>
      </c>
      <c r="I9" t="s">
        <v>6</v>
      </c>
      <c r="K9">
        <v>8</v>
      </c>
      <c r="L9" t="s">
        <v>29</v>
      </c>
    </row>
    <row r="10" spans="1:12" x14ac:dyDescent="0.25">
      <c r="A10" s="14" t="s">
        <v>16</v>
      </c>
      <c r="B10" s="14">
        <v>10</v>
      </c>
      <c r="C10" s="14" t="s">
        <v>190</v>
      </c>
      <c r="D10" s="14" t="s">
        <v>191</v>
      </c>
      <c r="E10" s="14" t="s">
        <v>195</v>
      </c>
      <c r="F10" s="14" t="s">
        <v>193</v>
      </c>
      <c r="H10" t="str">
        <f t="shared" si="0"/>
        <v xml:space="preserve">10 - What methods and tools should be used in planning and/or operation to determine the appropriate mix, location, and capabilities of grid-forming and grid-following inverters to mitigate stability problems for a given power system? </v>
      </c>
      <c r="K10">
        <v>9</v>
      </c>
      <c r="L10" t="s">
        <v>30</v>
      </c>
    </row>
    <row r="11" spans="1:12" x14ac:dyDescent="0.25">
      <c r="A11" s="14" t="s">
        <v>16</v>
      </c>
      <c r="B11" s="14">
        <v>11</v>
      </c>
      <c r="C11" s="14" t="s">
        <v>190</v>
      </c>
      <c r="D11" s="14" t="s">
        <v>191</v>
      </c>
      <c r="E11" s="14" t="s">
        <v>196</v>
      </c>
      <c r="F11" s="14" t="s">
        <v>193</v>
      </c>
      <c r="H11" t="str">
        <f t="shared" si="0"/>
        <v>11 - In what form and fidelity should the original equipment manufacturers/developers and system operators exchange the IBR and grid models for comprehensive stability assurance of IBR-dominated grids?</v>
      </c>
      <c r="K11">
        <v>10</v>
      </c>
      <c r="L11" t="s">
        <v>31</v>
      </c>
    </row>
    <row r="12" spans="1:12" x14ac:dyDescent="0.25">
      <c r="A12" s="14" t="s">
        <v>16</v>
      </c>
      <c r="B12" s="14">
        <v>32</v>
      </c>
      <c r="C12" s="14" t="s">
        <v>197</v>
      </c>
      <c r="D12" s="14" t="s">
        <v>198</v>
      </c>
      <c r="E12" s="14" t="s">
        <v>199</v>
      </c>
      <c r="F12" s="14" t="s">
        <v>193</v>
      </c>
      <c r="H12" t="str">
        <f t="shared" si="0"/>
        <v>32 - How should system restoration services be structured and organized in systems with few or no synchronous machines, relying on IBR technologies and variable energy resources? </v>
      </c>
      <c r="K12">
        <v>11</v>
      </c>
      <c r="L12" t="s">
        <v>32</v>
      </c>
    </row>
    <row r="13" spans="1:12" x14ac:dyDescent="0.25">
      <c r="A13" s="14" t="s">
        <v>16</v>
      </c>
      <c r="B13" s="14">
        <v>33</v>
      </c>
      <c r="C13" s="14" t="s">
        <v>197</v>
      </c>
      <c r="D13" s="14" t="s">
        <v>198</v>
      </c>
      <c r="E13" s="14" t="s">
        <v>200</v>
      </c>
      <c r="F13" s="14" t="s">
        <v>193</v>
      </c>
      <c r="H13" t="str">
        <f t="shared" si="0"/>
        <v>33 - 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K13">
        <v>12</v>
      </c>
      <c r="L13" t="s">
        <v>35</v>
      </c>
    </row>
    <row r="14" spans="1:12" x14ac:dyDescent="0.25">
      <c r="A14" s="14" t="s">
        <v>16</v>
      </c>
      <c r="B14" s="14">
        <v>34</v>
      </c>
      <c r="C14" s="14" t="s">
        <v>197</v>
      </c>
      <c r="D14" s="14" t="s">
        <v>198</v>
      </c>
      <c r="E14" s="14" t="s">
        <v>201</v>
      </c>
      <c r="F14" s="14" t="s">
        <v>193</v>
      </c>
      <c r="H14" t="str">
        <f t="shared" si="0"/>
        <v>34 - What methods could determine the need, sufficiency, and locational nature of IBR voltage control and system strength services for a given area? </v>
      </c>
      <c r="K14">
        <v>13</v>
      </c>
      <c r="L14" t="s">
        <v>36</v>
      </c>
    </row>
    <row r="15" spans="1:12" x14ac:dyDescent="0.25">
      <c r="A15" s="14" t="s">
        <v>16</v>
      </c>
      <c r="B15" s="14">
        <v>35</v>
      </c>
      <c r="C15" s="14" t="s">
        <v>197</v>
      </c>
      <c r="D15" s="14" t="s">
        <v>198</v>
      </c>
      <c r="E15" s="14" t="s">
        <v>202</v>
      </c>
      <c r="F15" s="14" t="s">
        <v>193</v>
      </c>
      <c r="H15" t="str">
        <f t="shared" si="0"/>
        <v>35 - 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K15">
        <v>14</v>
      </c>
      <c r="L15" t="s">
        <v>37</v>
      </c>
    </row>
    <row r="16" spans="1:12" x14ac:dyDescent="0.25">
      <c r="A16" s="14" t="s">
        <v>16</v>
      </c>
      <c r="B16" s="14">
        <v>36</v>
      </c>
      <c r="C16" s="14" t="s">
        <v>197</v>
      </c>
      <c r="D16" s="14" t="s">
        <v>198</v>
      </c>
      <c r="E16" s="14" t="s">
        <v>203</v>
      </c>
      <c r="F16" s="14" t="s">
        <v>193</v>
      </c>
      <c r="H16" t="str">
        <f t="shared" si="0"/>
        <v>36 - What system services can be designed to enable response from IBRs that can be a substitute for inertia (i.e. very fast frequency response)?  </v>
      </c>
      <c r="K16">
        <v>15</v>
      </c>
      <c r="L16" t="s">
        <v>40</v>
      </c>
    </row>
    <row r="17" spans="1:12" x14ac:dyDescent="0.25">
      <c r="A17" t="s">
        <v>25</v>
      </c>
      <c r="B17">
        <v>4</v>
      </c>
      <c r="C17" t="s">
        <v>183</v>
      </c>
      <c r="D17" t="s">
        <v>184</v>
      </c>
      <c r="E17" t="s">
        <v>185</v>
      </c>
      <c r="F17" t="s">
        <v>193</v>
      </c>
      <c r="H17" t="str">
        <f t="shared" si="0"/>
        <v xml:space="preserve">4 - What are the appropriate inverter capabilities and, consequently, control design methods for operation in grids with high percentages of IBRs, and are standard configurations and combinations of services helpful in simplifying operational decision-making? </v>
      </c>
      <c r="K17">
        <v>16</v>
      </c>
      <c r="L17" t="s">
        <v>41</v>
      </c>
    </row>
    <row r="18" spans="1:12" x14ac:dyDescent="0.25">
      <c r="A18" t="s">
        <v>25</v>
      </c>
      <c r="B18">
        <v>5</v>
      </c>
      <c r="C18" t="s">
        <v>183</v>
      </c>
      <c r="D18" t="s">
        <v>184</v>
      </c>
      <c r="E18" t="s">
        <v>187</v>
      </c>
      <c r="F18" t="s">
        <v>193</v>
      </c>
      <c r="H18" t="str">
        <f t="shared" si="0"/>
        <v xml:space="preserve">5 - What recommendations for standard IBR frequency characteristics and responses should be identified to help system design? For example, should a contribution to damping be mandatory at certain frequencies? </v>
      </c>
      <c r="K18">
        <v>17</v>
      </c>
      <c r="L18" t="s">
        <v>43</v>
      </c>
    </row>
    <row r="19" spans="1:12" x14ac:dyDescent="0.25">
      <c r="A19" t="s">
        <v>25</v>
      </c>
      <c r="B19">
        <v>6</v>
      </c>
      <c r="C19" t="s">
        <v>183</v>
      </c>
      <c r="D19" t="s">
        <v>184</v>
      </c>
      <c r="E19" t="s">
        <v>188</v>
      </c>
      <c r="F19" t="s">
        <v>193</v>
      </c>
      <c r="H19" t="str">
        <f t="shared" si="0"/>
        <v xml:space="preserve">6 - What requirements (e.g. impedance) should be placed on IBRs to control negative sequence currents for protection and harmonics suppression? </v>
      </c>
      <c r="K19">
        <v>18</v>
      </c>
      <c r="L19" t="s">
        <v>44</v>
      </c>
    </row>
    <row r="20" spans="1:12" x14ac:dyDescent="0.25">
      <c r="A20" t="s">
        <v>25</v>
      </c>
      <c r="B20">
        <v>7</v>
      </c>
      <c r="C20" t="s">
        <v>204</v>
      </c>
      <c r="D20" t="s">
        <v>205</v>
      </c>
      <c r="E20" t="s">
        <v>206</v>
      </c>
      <c r="F20" t="s">
        <v>179</v>
      </c>
      <c r="H20" t="str">
        <f t="shared" si="0"/>
        <v>7 - What approaches can be taken to track the dynamic response of IBR-dominated systems near real time and detect any emerging stability problems?</v>
      </c>
      <c r="K20">
        <v>19</v>
      </c>
      <c r="L20" t="s">
        <v>47</v>
      </c>
    </row>
    <row r="21" spans="1:12" x14ac:dyDescent="0.25">
      <c r="A21" t="s">
        <v>25</v>
      </c>
      <c r="B21">
        <v>8</v>
      </c>
      <c r="C21" t="s">
        <v>190</v>
      </c>
      <c r="D21" t="s">
        <v>191</v>
      </c>
      <c r="E21" t="s">
        <v>192</v>
      </c>
      <c r="F21" t="s">
        <v>179</v>
      </c>
      <c r="H21" t="str">
        <f t="shared" si="0"/>
        <v xml:space="preserve">8 - What methods, including data types, and analyses can be used to identify the risk of poorly damped IBR-induced oscillations in planning studies and trace their root cause? </v>
      </c>
      <c r="K21">
        <v>20</v>
      </c>
      <c r="L21" t="s">
        <v>48</v>
      </c>
    </row>
    <row r="22" spans="1:12" x14ac:dyDescent="0.25">
      <c r="A22" t="s">
        <v>25</v>
      </c>
      <c r="B22">
        <v>9</v>
      </c>
      <c r="C22" t="s">
        <v>190</v>
      </c>
      <c r="D22" t="s">
        <v>191</v>
      </c>
      <c r="E22" t="s">
        <v>194</v>
      </c>
      <c r="F22" t="s">
        <v>179</v>
      </c>
      <c r="H22" t="str">
        <f t="shared" si="0"/>
        <v xml:space="preserve">9 - What analytical tools and models should be provided to planners and operators for robust assessment of system performance in IBR-dominated power grids? </v>
      </c>
      <c r="K22">
        <v>21</v>
      </c>
      <c r="L22" t="s">
        <v>49</v>
      </c>
    </row>
    <row r="23" spans="1:12" x14ac:dyDescent="0.25">
      <c r="A23" t="s">
        <v>25</v>
      </c>
      <c r="B23">
        <v>10</v>
      </c>
      <c r="C23" t="s">
        <v>190</v>
      </c>
      <c r="D23" t="s">
        <v>191</v>
      </c>
      <c r="E23" t="s">
        <v>195</v>
      </c>
      <c r="F23" t="s">
        <v>179</v>
      </c>
      <c r="H23" t="str">
        <f t="shared" si="0"/>
        <v xml:space="preserve">10 - What methods and tools should be used in planning and/or operation to determine the appropriate mix, location, and capabilities of grid-forming and grid-following inverters to mitigate stability problems for a given power system? </v>
      </c>
      <c r="K23">
        <v>22</v>
      </c>
      <c r="L23" t="s">
        <v>51</v>
      </c>
    </row>
    <row r="24" spans="1:12" x14ac:dyDescent="0.25">
      <c r="A24" t="s">
        <v>25</v>
      </c>
      <c r="B24">
        <v>11</v>
      </c>
      <c r="C24" t="s">
        <v>190</v>
      </c>
      <c r="D24" t="s">
        <v>191</v>
      </c>
      <c r="E24" t="s">
        <v>196</v>
      </c>
      <c r="F24" t="s">
        <v>179</v>
      </c>
      <c r="H24" t="str">
        <f t="shared" si="0"/>
        <v>11 - In what form and fidelity should the original equipment manufacturers/developers and system operators exchange the IBR and grid models for comprehensive stability assurance of IBR-dominated grids?</v>
      </c>
      <c r="K24">
        <v>23</v>
      </c>
      <c r="L24" t="s">
        <v>52</v>
      </c>
    </row>
    <row r="25" spans="1:12" x14ac:dyDescent="0.25">
      <c r="A25" t="s">
        <v>25</v>
      </c>
      <c r="B25">
        <v>24</v>
      </c>
      <c r="C25" t="s">
        <v>207</v>
      </c>
      <c r="D25" t="s">
        <v>208</v>
      </c>
      <c r="E25" t="s">
        <v>209</v>
      </c>
      <c r="F25" t="s">
        <v>193</v>
      </c>
      <c r="H25" t="str">
        <f t="shared" si="0"/>
        <v>24 - How can the risk of high-impact low-probability events (weather-related and otherwise) be incorporated into security assessments in real time and operations planning?</v>
      </c>
      <c r="K25">
        <v>24</v>
      </c>
      <c r="L25" t="s">
        <v>54</v>
      </c>
    </row>
    <row r="26" spans="1:12" x14ac:dyDescent="0.25">
      <c r="A26" t="s">
        <v>25</v>
      </c>
      <c r="B26">
        <v>25</v>
      </c>
      <c r="C26" t="s">
        <v>207</v>
      </c>
      <c r="D26" t="s">
        <v>208</v>
      </c>
      <c r="E26" t="s">
        <v>210</v>
      </c>
      <c r="F26" t="s">
        <v>193</v>
      </c>
      <c r="H26" t="str">
        <f t="shared" si="0"/>
        <v>25 - What metrics and their definitions (system strength, inertia, or others) need to be appropriately monitored or calculated to assess system dynamic behavior in real time, and what monitoring capabilities are necessary to support these assessments?</v>
      </c>
      <c r="K26">
        <v>25</v>
      </c>
      <c r="L26" t="s">
        <v>55</v>
      </c>
    </row>
    <row r="27" spans="1:12" x14ac:dyDescent="0.25">
      <c r="A27" t="s">
        <v>25</v>
      </c>
      <c r="B27">
        <v>37</v>
      </c>
      <c r="C27" t="s">
        <v>211</v>
      </c>
      <c r="D27" t="s">
        <v>212</v>
      </c>
      <c r="E27" t="s">
        <v>213</v>
      </c>
      <c r="F27" t="s">
        <v>193</v>
      </c>
      <c r="H27" t="str">
        <f t="shared" si="0"/>
        <v>37 - What studies and metrics are required to identify long-term scarcity of resources (capacity, energy, flexibility etc.) to maintain reliability?   </v>
      </c>
      <c r="K27">
        <v>26</v>
      </c>
      <c r="L27" t="s">
        <v>57</v>
      </c>
    </row>
    <row r="28" spans="1:12" x14ac:dyDescent="0.25">
      <c r="A28" t="s">
        <v>25</v>
      </c>
      <c r="B28">
        <v>38</v>
      </c>
      <c r="C28" t="s">
        <v>211</v>
      </c>
      <c r="D28" t="s">
        <v>212</v>
      </c>
      <c r="E28" t="s">
        <v>214</v>
      </c>
      <c r="F28" t="s">
        <v>193</v>
      </c>
      <c r="H28" t="str">
        <f t="shared" si="0"/>
        <v>38 - How should grid enhancing technologies be included in the planning processes? </v>
      </c>
      <c r="K28">
        <v>27</v>
      </c>
      <c r="L28" t="s">
        <v>59</v>
      </c>
    </row>
    <row r="29" spans="1:12" x14ac:dyDescent="0.25">
      <c r="A29" t="s">
        <v>25</v>
      </c>
      <c r="B29">
        <v>39</v>
      </c>
      <c r="C29" t="s">
        <v>211</v>
      </c>
      <c r="D29" t="s">
        <v>212</v>
      </c>
      <c r="E29" t="s">
        <v>215</v>
      </c>
      <c r="F29" t="s">
        <v>193</v>
      </c>
      <c r="H29" t="str">
        <f t="shared" si="0"/>
        <v>39 - 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K29">
        <v>28</v>
      </c>
      <c r="L29" t="s">
        <v>62</v>
      </c>
    </row>
    <row r="30" spans="1:12" x14ac:dyDescent="0.25">
      <c r="A30" t="s">
        <v>25</v>
      </c>
      <c r="B30">
        <v>40</v>
      </c>
      <c r="C30" t="s">
        <v>211</v>
      </c>
      <c r="D30" t="s">
        <v>212</v>
      </c>
      <c r="E30" t="s">
        <v>216</v>
      </c>
      <c r="F30" t="s">
        <v>193</v>
      </c>
      <c r="H30" t="str">
        <f t="shared" si="0"/>
        <v>40 - What studies and metrics are required to evaluate resource adequacy with hybrid plants (e.g., photovoltaics-plus-storage) and virtual power plants? </v>
      </c>
      <c r="K30">
        <v>29</v>
      </c>
      <c r="L30" t="s">
        <v>63</v>
      </c>
    </row>
    <row r="31" spans="1:12" x14ac:dyDescent="0.25">
      <c r="A31" s="14" t="s">
        <v>33</v>
      </c>
      <c r="B31" s="14">
        <v>12</v>
      </c>
      <c r="C31" s="14" t="s">
        <v>217</v>
      </c>
      <c r="D31" s="14" t="s">
        <v>218</v>
      </c>
      <c r="E31" s="14" t="s">
        <v>219</v>
      </c>
      <c r="F31" s="14" t="s">
        <v>179</v>
      </c>
      <c r="H31" t="str">
        <f t="shared" si="0"/>
        <v>12 - What mechanisms and appropriate aggregate DER representations and data are necessary to account for DERs in system-wide operation and planning, and in techno economic evaluation?</v>
      </c>
      <c r="K31">
        <v>30</v>
      </c>
      <c r="L31" t="s">
        <v>64</v>
      </c>
    </row>
    <row r="32" spans="1:12" x14ac:dyDescent="0.25">
      <c r="A32" s="14" t="s">
        <v>33</v>
      </c>
      <c r="B32" s="14">
        <v>13</v>
      </c>
      <c r="C32" s="14" t="s">
        <v>217</v>
      </c>
      <c r="D32" s="14" t="s">
        <v>218</v>
      </c>
      <c r="E32" s="14" t="s">
        <v>220</v>
      </c>
      <c r="F32" s="14" t="s">
        <v>179</v>
      </c>
      <c r="H32" t="str">
        <f t="shared" si="0"/>
        <v>13 - How can system operators quantify the bulk-level energy and service opportunities from DER, and how can these services be shared among distribution operators, bulk operators, aggregators and (where applicable) customers?</v>
      </c>
      <c r="K32">
        <v>31</v>
      </c>
      <c r="L32" t="s">
        <v>65</v>
      </c>
    </row>
    <row r="33" spans="1:12" x14ac:dyDescent="0.25">
      <c r="A33" s="14" t="s">
        <v>33</v>
      </c>
      <c r="B33" s="14">
        <v>14</v>
      </c>
      <c r="C33" s="14" t="s">
        <v>217</v>
      </c>
      <c r="D33" s="14" t="s">
        <v>218</v>
      </c>
      <c r="E33" s="14" t="s">
        <v>221</v>
      </c>
      <c r="F33" s="14" t="s">
        <v>179</v>
      </c>
      <c r="H33" t="str">
        <f t="shared" si="0"/>
        <v>14 - How can bulk-level services provided by DER be valued as a compromise between simplicity and, for example, a complex full cost-reflective approach?</v>
      </c>
      <c r="K33">
        <v>32</v>
      </c>
      <c r="L33" t="s">
        <v>67</v>
      </c>
    </row>
    <row r="34" spans="1:12" x14ac:dyDescent="0.25">
      <c r="A34" s="14" t="s">
        <v>33</v>
      </c>
      <c r="B34" s="14">
        <v>37</v>
      </c>
      <c r="C34" s="14" t="s">
        <v>211</v>
      </c>
      <c r="D34" s="14" t="s">
        <v>212</v>
      </c>
      <c r="E34" s="14" t="s">
        <v>213</v>
      </c>
      <c r="F34" s="14" t="s">
        <v>193</v>
      </c>
      <c r="H34" t="str">
        <f t="shared" si="0"/>
        <v>37 - What studies and metrics are required to identify long-term scarcity of resources (capacity, energy, flexibility etc.) to maintain reliability?   </v>
      </c>
      <c r="K34">
        <v>33</v>
      </c>
      <c r="L34" t="s">
        <v>68</v>
      </c>
    </row>
    <row r="35" spans="1:12" x14ac:dyDescent="0.25">
      <c r="A35" s="14" t="s">
        <v>33</v>
      </c>
      <c r="B35" s="14">
        <v>38</v>
      </c>
      <c r="C35" s="14" t="s">
        <v>211</v>
      </c>
      <c r="D35" s="14" t="s">
        <v>212</v>
      </c>
      <c r="E35" s="14" t="s">
        <v>214</v>
      </c>
      <c r="F35" s="14" t="s">
        <v>193</v>
      </c>
      <c r="H35" t="str">
        <f t="shared" si="0"/>
        <v>38 - How should grid enhancing technologies be included in the planning processes? </v>
      </c>
      <c r="K35">
        <v>34</v>
      </c>
      <c r="L35" t="s">
        <v>69</v>
      </c>
    </row>
    <row r="36" spans="1:12" x14ac:dyDescent="0.25">
      <c r="A36" s="14" t="s">
        <v>33</v>
      </c>
      <c r="B36" s="14">
        <v>39</v>
      </c>
      <c r="C36" s="14" t="s">
        <v>211</v>
      </c>
      <c r="D36" s="14" t="s">
        <v>212</v>
      </c>
      <c r="E36" s="14" t="s">
        <v>215</v>
      </c>
      <c r="F36" s="14" t="s">
        <v>193</v>
      </c>
      <c r="H36" t="str">
        <f t="shared" si="0"/>
        <v>39 - 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K36">
        <v>35</v>
      </c>
      <c r="L36" t="s">
        <v>70</v>
      </c>
    </row>
    <row r="37" spans="1:12" x14ac:dyDescent="0.25">
      <c r="A37" s="14" t="s">
        <v>33</v>
      </c>
      <c r="B37" s="14">
        <v>40</v>
      </c>
      <c r="C37" s="14" t="s">
        <v>211</v>
      </c>
      <c r="D37" s="14" t="s">
        <v>212</v>
      </c>
      <c r="E37" s="14" t="s">
        <v>216</v>
      </c>
      <c r="F37" s="14" t="s">
        <v>193</v>
      </c>
      <c r="H37" t="str">
        <f t="shared" si="0"/>
        <v>40 - What studies and metrics are required to evaluate resource adequacy with hybrid plants (e.g., photovoltaics-plus-storage) and virtual power plants? </v>
      </c>
      <c r="K37">
        <v>36</v>
      </c>
      <c r="L37" t="s">
        <v>71</v>
      </c>
    </row>
    <row r="38" spans="1:12" x14ac:dyDescent="0.25">
      <c r="A38" s="14" t="s">
        <v>33</v>
      </c>
      <c r="B38" s="14">
        <v>41</v>
      </c>
      <c r="C38" s="14" t="s">
        <v>222</v>
      </c>
      <c r="D38" s="14" t="s">
        <v>223</v>
      </c>
      <c r="E38" s="14" t="s">
        <v>224</v>
      </c>
      <c r="F38" s="14" t="s">
        <v>193</v>
      </c>
      <c r="H38" t="str">
        <f t="shared" si="0"/>
        <v>41 - What additional probabilistic planning methods and tools are necessary for planning a power system with a high share of IBRs and in particular, variable renewable energy resources? </v>
      </c>
      <c r="K38">
        <v>37</v>
      </c>
      <c r="L38" t="s">
        <v>73</v>
      </c>
    </row>
    <row r="39" spans="1:12" x14ac:dyDescent="0.25">
      <c r="A39" s="14" t="s">
        <v>33</v>
      </c>
      <c r="B39" s="14">
        <v>42</v>
      </c>
      <c r="C39" s="14" t="s">
        <v>222</v>
      </c>
      <c r="D39" s="14" t="s">
        <v>223</v>
      </c>
      <c r="E39" s="14" t="s">
        <v>225</v>
      </c>
      <c r="F39" s="14" t="s">
        <v>193</v>
      </c>
      <c r="H39" t="str">
        <f t="shared" si="0"/>
        <v>42 - What additional planning models and methods are needed to plan for various levels of uncertainty and no-regrets investments in a paradigm of increasing electrification and growing IBR and DER penetrations? </v>
      </c>
      <c r="K39">
        <v>38</v>
      </c>
      <c r="L39" t="s">
        <v>74</v>
      </c>
    </row>
    <row r="40" spans="1:12" x14ac:dyDescent="0.25">
      <c r="A40" s="14" t="s">
        <v>33</v>
      </c>
      <c r="B40" s="14">
        <v>43</v>
      </c>
      <c r="C40" s="14" t="s">
        <v>222</v>
      </c>
      <c r="D40" s="14" t="s">
        <v>223</v>
      </c>
      <c r="E40" s="14" t="s">
        <v>226</v>
      </c>
      <c r="F40" s="14" t="s">
        <v>193</v>
      </c>
      <c r="H40" t="str">
        <f t="shared" si="0"/>
        <v>43 - What changes can be incorporated into the transmission planning process, especially inter-regional planning, to unlock multi-value system benefits and accommodate new drivers of uncertainty (e.g., large growth due to electrification or low growth due to increased use of DERs)? </v>
      </c>
      <c r="K40">
        <v>39</v>
      </c>
      <c r="L40" t="s">
        <v>75</v>
      </c>
    </row>
    <row r="41" spans="1:12" x14ac:dyDescent="0.25">
      <c r="A41" s="14" t="s">
        <v>33</v>
      </c>
      <c r="B41" s="14">
        <v>44</v>
      </c>
      <c r="C41" s="14" t="s">
        <v>222</v>
      </c>
      <c r="D41" s="14" t="s">
        <v>223</v>
      </c>
      <c r="E41" s="14" t="s">
        <v>227</v>
      </c>
      <c r="F41" s="14" t="s">
        <v>193</v>
      </c>
      <c r="H41" t="str">
        <f t="shared" si="0"/>
        <v>44 - What methods, processes, and products (e.g. services) can support effective valuation, integration, and procurement of long-duration energy storage? </v>
      </c>
      <c r="K41">
        <v>40</v>
      </c>
      <c r="L41" t="s">
        <v>76</v>
      </c>
    </row>
    <row r="42" spans="1:12" x14ac:dyDescent="0.25">
      <c r="A42" s="14" t="s">
        <v>33</v>
      </c>
      <c r="B42" s="14">
        <v>45</v>
      </c>
      <c r="C42" s="14" t="s">
        <v>222</v>
      </c>
      <c r="D42" s="14" t="s">
        <v>223</v>
      </c>
      <c r="E42" s="14" t="s">
        <v>228</v>
      </c>
      <c r="F42" s="14" t="s">
        <v>193</v>
      </c>
      <c r="H42" t="str">
        <f t="shared" si="0"/>
        <v>45 - What additional load and resource forecasting models are necessary to account for electrification, including large loads (e.g., data centers), coupling of the transportation and building sectors, and demand-side flexibility? </v>
      </c>
      <c r="K42">
        <v>41</v>
      </c>
      <c r="L42" t="s">
        <v>78</v>
      </c>
    </row>
    <row r="43" spans="1:12" x14ac:dyDescent="0.25">
      <c r="A43" s="14" t="s">
        <v>33</v>
      </c>
      <c r="B43" s="14">
        <v>46</v>
      </c>
      <c r="C43" s="14" t="s">
        <v>229</v>
      </c>
      <c r="D43" s="14" t="s">
        <v>230</v>
      </c>
      <c r="E43" s="14" t="s">
        <v>231</v>
      </c>
      <c r="F43" s="14" t="s">
        <v>193</v>
      </c>
      <c r="H43" t="str">
        <f t="shared" si="0"/>
        <v>46 - What additional methods, tools, and metrics are necessary to incorporate resilience concepts and the ability to recover and adapt to adverse conditions, considering uncertain future states into planning a power system with a high share of renewables? </v>
      </c>
      <c r="K43">
        <v>42</v>
      </c>
      <c r="L43" t="s">
        <v>79</v>
      </c>
    </row>
    <row r="44" spans="1:12" x14ac:dyDescent="0.25">
      <c r="A44" s="14" t="s">
        <v>33</v>
      </c>
      <c r="B44" s="14">
        <v>47</v>
      </c>
      <c r="C44" s="14" t="s">
        <v>229</v>
      </c>
      <c r="D44" s="14" t="s">
        <v>230</v>
      </c>
      <c r="E44" s="14" t="s">
        <v>232</v>
      </c>
      <c r="F44" s="14" t="s">
        <v>193</v>
      </c>
      <c r="H44" t="str">
        <f t="shared" si="0"/>
        <v>47 - How do system operators adequately account for the overall system impact of extreme events in planning studies, particularly those that impact the system with a high share of flexible resources in both supply and demand (wind, solar, demand-side flexibility)? </v>
      </c>
      <c r="K44">
        <v>43</v>
      </c>
      <c r="L44" t="s">
        <v>80</v>
      </c>
    </row>
    <row r="45" spans="1:12" x14ac:dyDescent="0.25">
      <c r="A45" s="14" t="s">
        <v>33</v>
      </c>
      <c r="B45" s="14">
        <v>48</v>
      </c>
      <c r="C45" s="14" t="s">
        <v>229</v>
      </c>
      <c r="D45" s="14" t="s">
        <v>230</v>
      </c>
      <c r="E45" s="14" t="s">
        <v>233</v>
      </c>
      <c r="F45" s="14" t="s">
        <v>193</v>
      </c>
      <c r="H45" t="str">
        <f t="shared" si="0"/>
        <v>48 - What additional planning models and methods are needed to plan for a system that can withstand expected or unexpected lulls (e.g., an extended wind drought, or a dunkelflaute)?  </v>
      </c>
      <c r="K45">
        <v>44</v>
      </c>
      <c r="L45" t="s">
        <v>81</v>
      </c>
    </row>
    <row r="46" spans="1:12" x14ac:dyDescent="0.25">
      <c r="A46" t="s">
        <v>38</v>
      </c>
      <c r="B46">
        <v>15</v>
      </c>
      <c r="C46" t="s">
        <v>234</v>
      </c>
      <c r="D46" t="s">
        <v>235</v>
      </c>
      <c r="E46" t="s">
        <v>236</v>
      </c>
      <c r="F46" t="s">
        <v>179</v>
      </c>
      <c r="H46" t="str">
        <f t="shared" si="0"/>
        <v>15 - What aggregate quantities must be monitored, screened, and validated to ensure reliable service provision from different DER categories and at what
temporal and/or spatial resolution must these processes occur?</v>
      </c>
      <c r="K46">
        <v>45</v>
      </c>
      <c r="L46" t="s">
        <v>82</v>
      </c>
    </row>
    <row r="47" spans="1:12" x14ac:dyDescent="0.25">
      <c r="A47" t="s">
        <v>38</v>
      </c>
      <c r="B47">
        <v>16</v>
      </c>
      <c r="C47" t="s">
        <v>234</v>
      </c>
      <c r="D47" t="s">
        <v>235</v>
      </c>
      <c r="E47" t="s">
        <v>237</v>
      </c>
      <c r="F47" t="s">
        <v>179</v>
      </c>
      <c r="H47" t="str">
        <f t="shared" si="0"/>
        <v>16 - What is the communication capability needed to support monitoring and coordination of DER in terms of reliability, latency, bandwidth and (cyber) security?</v>
      </c>
      <c r="K47">
        <v>46</v>
      </c>
      <c r="L47" t="s">
        <v>84</v>
      </c>
    </row>
    <row r="48" spans="1:12" x14ac:dyDescent="0.25">
      <c r="A48" t="s">
        <v>38</v>
      </c>
      <c r="B48">
        <v>17</v>
      </c>
      <c r="C48" t="s">
        <v>238</v>
      </c>
      <c r="D48" t="s">
        <v>239</v>
      </c>
      <c r="E48" t="s">
        <v>240</v>
      </c>
      <c r="F48" t="s">
        <v>179</v>
      </c>
      <c r="H48" t="str">
        <f t="shared" si="0"/>
        <v>17 - What is a scalable data architecture for DER monitoring, modelling, and coordination in real-time that would be suitable for the control room?</v>
      </c>
      <c r="K48">
        <v>47</v>
      </c>
      <c r="L48" t="s">
        <v>85</v>
      </c>
    </row>
    <row r="49" spans="1:12" x14ac:dyDescent="0.25">
      <c r="A49" t="s">
        <v>38</v>
      </c>
      <c r="B49">
        <v>18</v>
      </c>
      <c r="C49" t="s">
        <v>238</v>
      </c>
      <c r="D49" t="s">
        <v>239</v>
      </c>
      <c r="E49" t="s">
        <v>241</v>
      </c>
      <c r="F49" t="s">
        <v>179</v>
      </c>
      <c r="H49" t="str">
        <f t="shared" si="0"/>
        <v>18 - 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v>
      </c>
      <c r="K49">
        <v>48</v>
      </c>
      <c r="L49" t="s">
        <v>86</v>
      </c>
    </row>
    <row r="50" spans="1:12" x14ac:dyDescent="0.25">
      <c r="A50" t="s">
        <v>38</v>
      </c>
      <c r="B50">
        <v>19</v>
      </c>
      <c r="C50" t="s">
        <v>242</v>
      </c>
      <c r="D50" t="s">
        <v>243</v>
      </c>
      <c r="E50" t="s">
        <v>244</v>
      </c>
      <c r="F50" t="s">
        <v>193</v>
      </c>
      <c r="H50" t="str">
        <f t="shared" si="0"/>
        <v>19 - How can the capabilities of grid-enhancing technologies (such as FACTS,SPS, RAS, DLR, PFC, WAMPAC) be integrated into the operational decision-making process?</v>
      </c>
    </row>
    <row r="51" spans="1:12" x14ac:dyDescent="0.25">
      <c r="A51" t="s">
        <v>38</v>
      </c>
      <c r="B51">
        <v>20</v>
      </c>
      <c r="C51" t="s">
        <v>242</v>
      </c>
      <c r="D51" t="s">
        <v>243</v>
      </c>
      <c r="E51" t="s">
        <v>245</v>
      </c>
      <c r="F51" t="s">
        <v>193</v>
      </c>
      <c r="H51" t="str">
        <f t="shared" si="0"/>
        <v>20 - How can grid topology be flexibly adapted to be reliably integrated into the operational decision-making process with outage scheduling, transfer limit increase, and post contingency remedial actions?</v>
      </c>
    </row>
    <row r="52" spans="1:12" x14ac:dyDescent="0.25">
      <c r="A52" t="s">
        <v>38</v>
      </c>
      <c r="B52">
        <v>21</v>
      </c>
      <c r="C52" t="s">
        <v>242</v>
      </c>
      <c r="D52" t="s">
        <v>243</v>
      </c>
      <c r="E52" t="s">
        <v>246</v>
      </c>
      <c r="F52" t="s">
        <v>193</v>
      </c>
      <c r="H52" t="str">
        <f t="shared" si="0"/>
        <v>21 - 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row>
    <row r="53" spans="1:12" x14ac:dyDescent="0.25">
      <c r="A53" t="s">
        <v>38</v>
      </c>
      <c r="B53">
        <v>22</v>
      </c>
      <c r="C53" t="s">
        <v>247</v>
      </c>
      <c r="D53" t="s">
        <v>248</v>
      </c>
      <c r="E53" t="s">
        <v>249</v>
      </c>
      <c r="F53" t="s">
        <v>193</v>
      </c>
      <c r="H53" t="str">
        <f t="shared" si="0"/>
        <v>22 - What type of digital architecture is best placed to enable modularity and the variety of software required to operate a control room in real time, near-real time, and in auto pilot mode?</v>
      </c>
    </row>
    <row r="54" spans="1:12" x14ac:dyDescent="0.25">
      <c r="A54" t="s">
        <v>38</v>
      </c>
      <c r="B54">
        <v>23</v>
      </c>
      <c r="C54" t="s">
        <v>247</v>
      </c>
      <c r="D54" t="s">
        <v>248</v>
      </c>
      <c r="E54" t="s">
        <v>250</v>
      </c>
      <c r="F54" t="s">
        <v>193</v>
      </c>
      <c r="H54" t="str">
        <f t="shared" si="0"/>
        <v>23 - What is the best way to integrate large datasets, streaming information, and historical system performance to create actionable operational insights in an increasingly complex environment with multiple phenomena occurring within overlapping timescales?</v>
      </c>
    </row>
    <row r="55" spans="1:12" x14ac:dyDescent="0.25">
      <c r="A55" t="s">
        <v>38</v>
      </c>
      <c r="B55">
        <v>24</v>
      </c>
      <c r="C55" t="s">
        <v>207</v>
      </c>
      <c r="D55" t="s">
        <v>208</v>
      </c>
      <c r="E55" t="s">
        <v>209</v>
      </c>
      <c r="F55" t="s">
        <v>193</v>
      </c>
      <c r="H55" t="str">
        <f t="shared" si="0"/>
        <v>24 - How can the risk of high-impact low-probability events (weather-related and otherwise) be incorporated into security assessments in real time and operations planning?</v>
      </c>
    </row>
    <row r="56" spans="1:12" x14ac:dyDescent="0.25">
      <c r="A56" t="s">
        <v>38</v>
      </c>
      <c r="B56">
        <v>25</v>
      </c>
      <c r="C56" t="s">
        <v>207</v>
      </c>
      <c r="D56" t="s">
        <v>208</v>
      </c>
      <c r="E56" t="s">
        <v>210</v>
      </c>
      <c r="F56" t="s">
        <v>193</v>
      </c>
      <c r="H56" t="str">
        <f t="shared" si="0"/>
        <v>25 - What metrics and their definitions (system strength, inertia, or others) need to be appropriately monitored or calculated to assess system dynamic behavior in real time, and what monitoring capabilities are necessary to support these assessments?</v>
      </c>
    </row>
    <row r="57" spans="1:12" x14ac:dyDescent="0.25">
      <c r="A57" s="14" t="s">
        <v>45</v>
      </c>
      <c r="B57" s="14">
        <v>7</v>
      </c>
      <c r="C57" s="14" t="s">
        <v>204</v>
      </c>
      <c r="D57" s="14" t="s">
        <v>205</v>
      </c>
      <c r="E57" s="14" t="s">
        <v>206</v>
      </c>
      <c r="F57" s="14" t="s">
        <v>193</v>
      </c>
      <c r="H57" t="str">
        <f t="shared" si="0"/>
        <v>7 - What approaches can be taken to track the dynamic response of IBR-dominated systems near real time and detect any emerging stability problems?</v>
      </c>
    </row>
    <row r="58" spans="1:12" x14ac:dyDescent="0.25">
      <c r="A58" s="14" t="s">
        <v>45</v>
      </c>
      <c r="B58" s="14">
        <v>19</v>
      </c>
      <c r="C58" s="14" t="s">
        <v>242</v>
      </c>
      <c r="D58" s="14" t="s">
        <v>243</v>
      </c>
      <c r="E58" s="14" t="s">
        <v>244</v>
      </c>
      <c r="F58" s="14" t="s">
        <v>179</v>
      </c>
      <c r="H58" t="str">
        <f t="shared" si="0"/>
        <v>19 - How can the capabilities of grid-enhancing technologies (such as FACTS,SPS, RAS, DLR, PFC, WAMPAC) be integrated into the operational decision-making process?</v>
      </c>
    </row>
    <row r="59" spans="1:12" x14ac:dyDescent="0.25">
      <c r="A59" s="14" t="s">
        <v>45</v>
      </c>
      <c r="B59" s="14">
        <v>20</v>
      </c>
      <c r="C59" s="14" t="s">
        <v>242</v>
      </c>
      <c r="D59" s="14" t="s">
        <v>243</v>
      </c>
      <c r="E59" s="14" t="s">
        <v>245</v>
      </c>
      <c r="F59" s="14" t="s">
        <v>179</v>
      </c>
      <c r="H59" t="str">
        <f t="shared" si="0"/>
        <v>20 - How can grid topology be flexibly adapted to be reliably integrated into the operational decision-making process with outage scheduling, transfer limit increase, and post contingency remedial actions?</v>
      </c>
    </row>
    <row r="60" spans="1:12" x14ac:dyDescent="0.25">
      <c r="A60" s="14" t="s">
        <v>45</v>
      </c>
      <c r="B60" s="14">
        <v>21</v>
      </c>
      <c r="C60" s="14" t="s">
        <v>242</v>
      </c>
      <c r="D60" s="14" t="s">
        <v>243</v>
      </c>
      <c r="E60" s="14" t="s">
        <v>246</v>
      </c>
      <c r="F60" s="14" t="s">
        <v>179</v>
      </c>
      <c r="H60" t="str">
        <f t="shared" si="0"/>
        <v>21 - 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row>
    <row r="61" spans="1:12" x14ac:dyDescent="0.25">
      <c r="A61" s="14" t="s">
        <v>45</v>
      </c>
      <c r="B61" s="14">
        <v>22</v>
      </c>
      <c r="C61" s="14" t="s">
        <v>247</v>
      </c>
      <c r="D61" s="14" t="s">
        <v>248</v>
      </c>
      <c r="E61" s="14" t="s">
        <v>249</v>
      </c>
      <c r="F61" s="14" t="s">
        <v>179</v>
      </c>
      <c r="H61" t="str">
        <f t="shared" si="0"/>
        <v>22 - What type of digital architecture is best placed to enable modularity and the variety of software required to operate a control room in real time, near-real time, and in auto pilot mode?</v>
      </c>
    </row>
    <row r="62" spans="1:12" x14ac:dyDescent="0.25">
      <c r="A62" s="14" t="s">
        <v>45</v>
      </c>
      <c r="B62" s="14">
        <v>23</v>
      </c>
      <c r="C62" s="14" t="s">
        <v>247</v>
      </c>
      <c r="D62" s="14" t="s">
        <v>248</v>
      </c>
      <c r="E62" s="14" t="s">
        <v>250</v>
      </c>
      <c r="F62" s="14" t="s">
        <v>179</v>
      </c>
      <c r="H62" t="str">
        <f t="shared" si="0"/>
        <v>23 - What is the best way to integrate large datasets, streaming information, and historical system performance to create actionable operational insights in an increasingly complex environment with multiple phenomena occurring within overlapping timescales?</v>
      </c>
    </row>
    <row r="63" spans="1:12" x14ac:dyDescent="0.25">
      <c r="A63" s="14" t="s">
        <v>45</v>
      </c>
      <c r="B63" s="14">
        <v>24</v>
      </c>
      <c r="C63" s="14" t="s">
        <v>207</v>
      </c>
      <c r="D63" s="14" t="s">
        <v>208</v>
      </c>
      <c r="E63" s="14" t="s">
        <v>209</v>
      </c>
      <c r="F63" s="14" t="s">
        <v>179</v>
      </c>
      <c r="H63" t="str">
        <f t="shared" si="0"/>
        <v>24 - How can the risk of high-impact low-probability events (weather-related and otherwise) be incorporated into security assessments in real time and operations planning?</v>
      </c>
    </row>
    <row r="64" spans="1:12" x14ac:dyDescent="0.25">
      <c r="A64" s="14" t="s">
        <v>45</v>
      </c>
      <c r="B64" s="14">
        <v>25</v>
      </c>
      <c r="C64" s="14" t="s">
        <v>207</v>
      </c>
      <c r="D64" s="14" t="s">
        <v>208</v>
      </c>
      <c r="E64" s="14" t="s">
        <v>210</v>
      </c>
      <c r="F64" s="14" t="s">
        <v>179</v>
      </c>
      <c r="H64" t="str">
        <f t="shared" si="0"/>
        <v>25 - What metrics and their definitions (system strength, inertia, or others) need to be appropriately monitored or calculated to assess system dynamic behavior in real time, and what monitoring capabilities are necessary to support these assessments?</v>
      </c>
    </row>
    <row r="65" spans="1:8" x14ac:dyDescent="0.25">
      <c r="A65" s="14" t="s">
        <v>45</v>
      </c>
      <c r="B65" s="14">
        <v>26</v>
      </c>
      <c r="C65" s="14" t="s">
        <v>251</v>
      </c>
      <c r="D65" s="14" t="s">
        <v>252</v>
      </c>
      <c r="E65" s="14" t="s">
        <v>253</v>
      </c>
      <c r="F65" s="14" t="s">
        <v>179</v>
      </c>
      <c r="H65" t="str">
        <f t="shared" si="0"/>
        <v>26 - What improvements can be made to predictive tools and visualization methodologies in operational applications within the control room to support decision-making in real-time operations?</v>
      </c>
    </row>
    <row r="66" spans="1:8" x14ac:dyDescent="0.25">
      <c r="A66" s="14" t="s">
        <v>45</v>
      </c>
      <c r="B66" s="14">
        <v>27</v>
      </c>
      <c r="C66" s="14" t="s">
        <v>254</v>
      </c>
      <c r="D66" s="14" t="s">
        <v>255</v>
      </c>
      <c r="E66" s="14" t="s">
        <v>256</v>
      </c>
      <c r="F66" s="14" t="s">
        <v>179</v>
      </c>
      <c r="H66" t="str">
        <f t="shared" si="0"/>
        <v>27 - How can risk-based methods (e.g. probabilistic forecasting techniques) be better incorporated into operational decision-support tools and used consistently across multiple stages (e.g., real-time, day ahead, intraday planning)?</v>
      </c>
    </row>
    <row r="67" spans="1:8" x14ac:dyDescent="0.25">
      <c r="A67" t="s">
        <v>60</v>
      </c>
      <c r="B67">
        <v>28</v>
      </c>
      <c r="C67" t="s">
        <v>257</v>
      </c>
      <c r="D67" t="s">
        <v>258</v>
      </c>
      <c r="E67" t="s">
        <v>259</v>
      </c>
      <c r="F67" t="s">
        <v>179</v>
      </c>
      <c r="H67" t="str">
        <f t="shared" ref="H67:H100" si="1">B67&amp;" - "&amp; _xlfn.XLOOKUP(B67,$K$2:$K$49,$L$2:$L$49)</f>
        <v>28 - What system services are needed across different timescales and to the extent that services coexist within the same timescale, how should these services be designed to avoid competition and overlap? </v>
      </c>
    </row>
    <row r="68" spans="1:8" x14ac:dyDescent="0.25">
      <c r="A68" t="s">
        <v>60</v>
      </c>
      <c r="B68">
        <v>29</v>
      </c>
      <c r="C68" t="s">
        <v>257</v>
      </c>
      <c r="D68" t="s">
        <v>258</v>
      </c>
      <c r="E68" t="s">
        <v>260</v>
      </c>
      <c r="F68" t="s">
        <v>179</v>
      </c>
      <c r="H68" t="str">
        <f t="shared" si="1"/>
        <v>29 - What are the needs of a power system expressed in technologically neutral form and how do these needs map to services that any resource (including data centers, other IBRs, DERs, high-voltage direct current links, etc.) can provide? </v>
      </c>
    </row>
    <row r="69" spans="1:8" x14ac:dyDescent="0.25">
      <c r="A69" t="s">
        <v>60</v>
      </c>
      <c r="B69">
        <v>30</v>
      </c>
      <c r="C69" t="s">
        <v>257</v>
      </c>
      <c r="D69" t="s">
        <v>258</v>
      </c>
      <c r="E69" t="s">
        <v>261</v>
      </c>
      <c r="F69" t="s">
        <v>179</v>
      </c>
      <c r="H69" t="str">
        <f t="shared" si="1"/>
        <v>30 - How can system performance requirements be translated into reliable new technology solutions? </v>
      </c>
    </row>
    <row r="70" spans="1:8" x14ac:dyDescent="0.25">
      <c r="A70" t="s">
        <v>60</v>
      </c>
      <c r="B70">
        <v>31</v>
      </c>
      <c r="C70" t="s">
        <v>257</v>
      </c>
      <c r="D70" t="s">
        <v>258</v>
      </c>
      <c r="E70" t="s">
        <v>262</v>
      </c>
      <c r="F70" t="s">
        <v>179</v>
      </c>
      <c r="H70" t="str">
        <f t="shared" si="1"/>
        <v>31 - For each service, how feasible is it to provide from IBR, what “cost” does it add, what limitations exist on its magnitude and duration and what are the trade-offs between the provision of services? </v>
      </c>
    </row>
    <row r="71" spans="1:8" x14ac:dyDescent="0.25">
      <c r="A71" t="s">
        <v>60</v>
      </c>
      <c r="B71">
        <v>32</v>
      </c>
      <c r="C71" t="s">
        <v>197</v>
      </c>
      <c r="D71" t="s">
        <v>198</v>
      </c>
      <c r="E71" t="s">
        <v>199</v>
      </c>
      <c r="F71" t="s">
        <v>179</v>
      </c>
      <c r="H71" t="str">
        <f t="shared" si="1"/>
        <v>32 - How should system restoration services be structured and organized in systems with few or no synchronous machines, relying on IBR technologies and variable energy resources? </v>
      </c>
    </row>
    <row r="72" spans="1:8" x14ac:dyDescent="0.25">
      <c r="A72" t="s">
        <v>60</v>
      </c>
      <c r="B72">
        <v>33</v>
      </c>
      <c r="C72" t="s">
        <v>197</v>
      </c>
      <c r="D72" t="s">
        <v>198</v>
      </c>
      <c r="E72" t="s">
        <v>200</v>
      </c>
      <c r="F72" t="s">
        <v>179</v>
      </c>
      <c r="H72" t="str">
        <f t="shared" si="1"/>
        <v>33 - 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row>
    <row r="73" spans="1:8" x14ac:dyDescent="0.25">
      <c r="A73" t="s">
        <v>60</v>
      </c>
      <c r="B73">
        <v>34</v>
      </c>
      <c r="C73" t="s">
        <v>197</v>
      </c>
      <c r="D73" t="s">
        <v>198</v>
      </c>
      <c r="E73" t="s">
        <v>201</v>
      </c>
      <c r="F73" t="s">
        <v>179</v>
      </c>
      <c r="H73" t="str">
        <f t="shared" si="1"/>
        <v>34 - What methods could determine the need, sufficiency, and locational nature of IBR voltage control and system strength services for a given area? </v>
      </c>
    </row>
    <row r="74" spans="1:8" x14ac:dyDescent="0.25">
      <c r="A74" t="s">
        <v>60</v>
      </c>
      <c r="B74">
        <v>35</v>
      </c>
      <c r="C74" t="s">
        <v>197</v>
      </c>
      <c r="D74" t="s">
        <v>198</v>
      </c>
      <c r="E74" t="s">
        <v>202</v>
      </c>
      <c r="F74" t="s">
        <v>179</v>
      </c>
      <c r="H74" t="str">
        <f t="shared" si="1"/>
        <v>35 - 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row>
    <row r="75" spans="1:8" x14ac:dyDescent="0.25">
      <c r="A75" t="s">
        <v>60</v>
      </c>
      <c r="B75">
        <v>36</v>
      </c>
      <c r="C75" t="s">
        <v>197</v>
      </c>
      <c r="D75" t="s">
        <v>198</v>
      </c>
      <c r="E75" t="s">
        <v>203</v>
      </c>
      <c r="F75" t="s">
        <v>179</v>
      </c>
      <c r="H75" t="str">
        <f t="shared" si="1"/>
        <v>36 - What system services can be designed to enable response from IBRs that can be a substitute for inertia (i.e. very fast frequency response)?  </v>
      </c>
    </row>
    <row r="76" spans="1:8" x14ac:dyDescent="0.25">
      <c r="A76" t="s">
        <v>60</v>
      </c>
      <c r="B76">
        <v>37</v>
      </c>
      <c r="C76" t="s">
        <v>211</v>
      </c>
      <c r="D76" t="s">
        <v>212</v>
      </c>
      <c r="E76" t="s">
        <v>213</v>
      </c>
      <c r="F76" t="s">
        <v>193</v>
      </c>
      <c r="H76" t="str">
        <f t="shared" si="1"/>
        <v>37 - What studies and metrics are required to identify long-term scarcity of resources (capacity, energy, flexibility etc.) to maintain reliability?   </v>
      </c>
    </row>
    <row r="77" spans="1:8" x14ac:dyDescent="0.25">
      <c r="A77" t="s">
        <v>60</v>
      </c>
      <c r="B77">
        <v>38</v>
      </c>
      <c r="C77" t="s">
        <v>211</v>
      </c>
      <c r="D77" t="s">
        <v>212</v>
      </c>
      <c r="E77" t="s">
        <v>214</v>
      </c>
      <c r="F77" t="s">
        <v>193</v>
      </c>
      <c r="H77" t="str">
        <f t="shared" si="1"/>
        <v>38 - How should grid enhancing technologies be included in the planning processes? </v>
      </c>
    </row>
    <row r="78" spans="1:8" x14ac:dyDescent="0.25">
      <c r="A78" t="s">
        <v>60</v>
      </c>
      <c r="B78">
        <v>39</v>
      </c>
      <c r="C78" t="s">
        <v>211</v>
      </c>
      <c r="D78" t="s">
        <v>212</v>
      </c>
      <c r="E78" t="s">
        <v>215</v>
      </c>
      <c r="F78" t="s">
        <v>193</v>
      </c>
      <c r="H78" t="str">
        <f t="shared" si="1"/>
        <v>39 - 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row>
    <row r="79" spans="1:8" x14ac:dyDescent="0.25">
      <c r="A79" t="s">
        <v>60</v>
      </c>
      <c r="B79">
        <v>40</v>
      </c>
      <c r="C79" t="s">
        <v>211</v>
      </c>
      <c r="D79" t="s">
        <v>212</v>
      </c>
      <c r="E79" t="s">
        <v>216</v>
      </c>
      <c r="F79" t="s">
        <v>193</v>
      </c>
      <c r="H79" t="str">
        <f t="shared" si="1"/>
        <v>40 - What studies and metrics are required to evaluate resource adequacy with hybrid plants (e.g., photovoltaics-plus-storage) and virtual power plants? </v>
      </c>
    </row>
    <row r="80" spans="1:8" x14ac:dyDescent="0.25">
      <c r="A80" s="14" t="s">
        <v>11</v>
      </c>
      <c r="B80" s="14">
        <v>12</v>
      </c>
      <c r="C80" s="14" t="s">
        <v>217</v>
      </c>
      <c r="D80" s="14" t="s">
        <v>218</v>
      </c>
      <c r="E80" s="14" t="s">
        <v>219</v>
      </c>
      <c r="F80" s="14" t="s">
        <v>193</v>
      </c>
      <c r="H80" t="str">
        <f t="shared" si="1"/>
        <v>12 - What mechanisms and appropriate aggregate DER representations and data are necessary to account for DERs in system-wide operation and planning, and in techno economic evaluation?</v>
      </c>
    </row>
    <row r="81" spans="1:8" x14ac:dyDescent="0.25">
      <c r="A81" s="14" t="s">
        <v>11</v>
      </c>
      <c r="B81" s="14">
        <v>13</v>
      </c>
      <c r="C81" s="14" t="s">
        <v>217</v>
      </c>
      <c r="D81" s="14" t="s">
        <v>218</v>
      </c>
      <c r="E81" s="14" t="s">
        <v>220</v>
      </c>
      <c r="F81" s="14" t="s">
        <v>193</v>
      </c>
      <c r="H81" t="str">
        <f t="shared" si="1"/>
        <v>13 - How can system operators quantify the bulk-level energy and service opportunities from DER, and how can these services be shared among distribution operators, bulk operators, aggregators and (where applicable) customers?</v>
      </c>
    </row>
    <row r="82" spans="1:8" x14ac:dyDescent="0.25">
      <c r="A82" s="14" t="s">
        <v>11</v>
      </c>
      <c r="B82" s="14">
        <v>14</v>
      </c>
      <c r="C82" s="14" t="s">
        <v>217</v>
      </c>
      <c r="D82" s="14" t="s">
        <v>218</v>
      </c>
      <c r="E82" s="14" t="s">
        <v>221</v>
      </c>
      <c r="F82" s="14" t="s">
        <v>193</v>
      </c>
      <c r="H82" t="str">
        <f t="shared" si="1"/>
        <v>14 - How can bulk-level services provided by DER be valued as a compromise between simplicity and, for example, a complex full cost-reflective approach?</v>
      </c>
    </row>
    <row r="83" spans="1:8" x14ac:dyDescent="0.25">
      <c r="A83" s="14" t="s">
        <v>11</v>
      </c>
      <c r="B83" s="14">
        <v>27</v>
      </c>
      <c r="C83" s="14" t="s">
        <v>254</v>
      </c>
      <c r="D83" s="14" t="s">
        <v>255</v>
      </c>
      <c r="E83" s="14" t="s">
        <v>256</v>
      </c>
      <c r="F83" s="14" t="s">
        <v>193</v>
      </c>
      <c r="H83" t="str">
        <f t="shared" si="1"/>
        <v>27 - How can risk-based methods (e.g. probabilistic forecasting techniques) be better incorporated into operational decision-support tools and used consistently across multiple stages (e.g., real-time, day ahead, intraday planning)?</v>
      </c>
    </row>
    <row r="84" spans="1:8" x14ac:dyDescent="0.25">
      <c r="A84" s="14" t="s">
        <v>11</v>
      </c>
      <c r="B84" s="14">
        <v>32</v>
      </c>
      <c r="C84" s="14" t="s">
        <v>197</v>
      </c>
      <c r="D84" s="14" t="s">
        <v>198</v>
      </c>
      <c r="E84" s="14" t="s">
        <v>199</v>
      </c>
      <c r="F84" s="14" t="s">
        <v>193</v>
      </c>
      <c r="H84" t="str">
        <f t="shared" si="1"/>
        <v>32 - How should system restoration services be structured and organized in systems with few or no synchronous machines, relying on IBR technologies and variable energy resources? </v>
      </c>
    </row>
    <row r="85" spans="1:8" x14ac:dyDescent="0.25">
      <c r="A85" s="14" t="s">
        <v>11</v>
      </c>
      <c r="B85" s="14">
        <v>33</v>
      </c>
      <c r="C85" s="14" t="s">
        <v>197</v>
      </c>
      <c r="D85" s="14" t="s">
        <v>198</v>
      </c>
      <c r="E85" s="14" t="s">
        <v>200</v>
      </c>
      <c r="F85" s="14" t="s">
        <v>193</v>
      </c>
      <c r="H85" t="str">
        <f t="shared" si="1"/>
        <v>33 - 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row>
    <row r="86" spans="1:8" x14ac:dyDescent="0.25">
      <c r="A86" s="14" t="s">
        <v>11</v>
      </c>
      <c r="B86" s="14">
        <v>34</v>
      </c>
      <c r="C86" s="14" t="s">
        <v>197</v>
      </c>
      <c r="D86" s="14" t="s">
        <v>198</v>
      </c>
      <c r="E86" s="14" t="s">
        <v>201</v>
      </c>
      <c r="F86" s="14" t="s">
        <v>193</v>
      </c>
      <c r="H86" t="str">
        <f t="shared" si="1"/>
        <v>34 - What methods could determine the need, sufficiency, and locational nature of IBR voltage control and system strength services for a given area? </v>
      </c>
    </row>
    <row r="87" spans="1:8" x14ac:dyDescent="0.25">
      <c r="A87" s="14" t="s">
        <v>11</v>
      </c>
      <c r="B87" s="14">
        <v>35</v>
      </c>
      <c r="C87" s="14" t="s">
        <v>197</v>
      </c>
      <c r="D87" s="14" t="s">
        <v>198</v>
      </c>
      <c r="E87" s="14" t="s">
        <v>202</v>
      </c>
      <c r="F87" s="14" t="s">
        <v>193</v>
      </c>
      <c r="H87" t="str">
        <f t="shared" si="1"/>
        <v>35 - 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row>
    <row r="88" spans="1:8" x14ac:dyDescent="0.25">
      <c r="A88" s="14" t="s">
        <v>11</v>
      </c>
      <c r="B88" s="14">
        <v>36</v>
      </c>
      <c r="C88" s="14" t="s">
        <v>197</v>
      </c>
      <c r="D88" s="14" t="s">
        <v>198</v>
      </c>
      <c r="E88" s="14" t="s">
        <v>203</v>
      </c>
      <c r="F88" s="14" t="s">
        <v>193</v>
      </c>
      <c r="H88" t="str">
        <f t="shared" si="1"/>
        <v>36 - What system services can be designed to enable response from IBRs that can be a substitute for inertia (i.e. very fast frequency response)?  </v>
      </c>
    </row>
    <row r="89" spans="1:8" x14ac:dyDescent="0.25">
      <c r="A89" s="14" t="s">
        <v>11</v>
      </c>
      <c r="B89" s="14">
        <v>37</v>
      </c>
      <c r="C89" s="14" t="s">
        <v>211</v>
      </c>
      <c r="D89" s="14" t="s">
        <v>212</v>
      </c>
      <c r="E89" s="14" t="s">
        <v>213</v>
      </c>
      <c r="F89" s="14" t="s">
        <v>179</v>
      </c>
      <c r="H89" t="str">
        <f t="shared" si="1"/>
        <v>37 - What studies and metrics are required to identify long-term scarcity of resources (capacity, energy, flexibility etc.) to maintain reliability?   </v>
      </c>
    </row>
    <row r="90" spans="1:8" x14ac:dyDescent="0.25">
      <c r="A90" s="14" t="s">
        <v>11</v>
      </c>
      <c r="B90" s="14">
        <v>38</v>
      </c>
      <c r="C90" s="14" t="s">
        <v>211</v>
      </c>
      <c r="D90" s="14" t="s">
        <v>212</v>
      </c>
      <c r="E90" s="14" t="s">
        <v>214</v>
      </c>
      <c r="F90" s="14" t="s">
        <v>179</v>
      </c>
      <c r="H90" t="str">
        <f t="shared" si="1"/>
        <v>38 - How should grid enhancing technologies be included in the planning processes? </v>
      </c>
    </row>
    <row r="91" spans="1:8" x14ac:dyDescent="0.25">
      <c r="A91" s="14" t="s">
        <v>11</v>
      </c>
      <c r="B91" s="14">
        <v>39</v>
      </c>
      <c r="C91" s="14" t="s">
        <v>211</v>
      </c>
      <c r="D91" s="14" t="s">
        <v>212</v>
      </c>
      <c r="E91" s="14" t="s">
        <v>215</v>
      </c>
      <c r="F91" s="14" t="s">
        <v>179</v>
      </c>
      <c r="H91" t="str">
        <f t="shared" si="1"/>
        <v>39 - 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row>
    <row r="92" spans="1:8" x14ac:dyDescent="0.25">
      <c r="A92" s="14" t="s">
        <v>11</v>
      </c>
      <c r="B92" s="14">
        <v>40</v>
      </c>
      <c r="C92" s="14" t="s">
        <v>211</v>
      </c>
      <c r="D92" s="14" t="s">
        <v>212</v>
      </c>
      <c r="E92" s="14" t="s">
        <v>216</v>
      </c>
      <c r="F92" s="14" t="s">
        <v>179</v>
      </c>
      <c r="H92" t="str">
        <f t="shared" si="1"/>
        <v>40 - What studies and metrics are required to evaluate resource adequacy with hybrid plants (e.g., photovoltaics-plus-storage) and virtual power plants? </v>
      </c>
    </row>
    <row r="93" spans="1:8" x14ac:dyDescent="0.25">
      <c r="A93" s="14" t="s">
        <v>11</v>
      </c>
      <c r="B93" s="14">
        <v>41</v>
      </c>
      <c r="C93" s="14" t="s">
        <v>222</v>
      </c>
      <c r="D93" s="14" t="s">
        <v>223</v>
      </c>
      <c r="E93" s="14" t="s">
        <v>224</v>
      </c>
      <c r="F93" s="14" t="s">
        <v>179</v>
      </c>
      <c r="H93" t="str">
        <f t="shared" si="1"/>
        <v>41 - What additional probabilistic planning methods and tools are necessary for planning a power system with a high share of IBRs and in particular, variable renewable energy resources? </v>
      </c>
    </row>
    <row r="94" spans="1:8" x14ac:dyDescent="0.25">
      <c r="A94" s="14" t="s">
        <v>11</v>
      </c>
      <c r="B94" s="14">
        <v>42</v>
      </c>
      <c r="C94" s="14" t="s">
        <v>222</v>
      </c>
      <c r="D94" s="14" t="s">
        <v>223</v>
      </c>
      <c r="E94" s="14" t="s">
        <v>225</v>
      </c>
      <c r="F94" s="14" t="s">
        <v>179</v>
      </c>
      <c r="H94" t="str">
        <f t="shared" si="1"/>
        <v>42 - What additional planning models and methods are needed to plan for various levels of uncertainty and no-regrets investments in a paradigm of increasing electrification and growing IBR and DER penetrations? </v>
      </c>
    </row>
    <row r="95" spans="1:8" x14ac:dyDescent="0.25">
      <c r="A95" s="14" t="s">
        <v>11</v>
      </c>
      <c r="B95" s="14">
        <v>43</v>
      </c>
      <c r="C95" s="14" t="s">
        <v>222</v>
      </c>
      <c r="D95" s="14" t="s">
        <v>223</v>
      </c>
      <c r="E95" s="14" t="s">
        <v>226</v>
      </c>
      <c r="F95" s="14" t="s">
        <v>179</v>
      </c>
      <c r="H95" t="str">
        <f t="shared" si="1"/>
        <v>43 - What changes can be incorporated into the transmission planning process, especially inter-regional planning, to unlock multi-value system benefits and accommodate new drivers of uncertainty (e.g., large growth due to electrification or low growth due to increased use of DERs)? </v>
      </c>
    </row>
    <row r="96" spans="1:8" x14ac:dyDescent="0.25">
      <c r="A96" s="14" t="s">
        <v>11</v>
      </c>
      <c r="B96" s="14">
        <v>44</v>
      </c>
      <c r="C96" s="14" t="s">
        <v>222</v>
      </c>
      <c r="D96" s="14" t="s">
        <v>223</v>
      </c>
      <c r="E96" s="14" t="s">
        <v>227</v>
      </c>
      <c r="F96" s="14" t="s">
        <v>179</v>
      </c>
      <c r="H96" t="str">
        <f t="shared" si="1"/>
        <v>44 - What methods, processes, and products (e.g. services) can support effective valuation, integration, and procurement of long-duration energy storage? </v>
      </c>
    </row>
    <row r="97" spans="1:8" x14ac:dyDescent="0.25">
      <c r="A97" s="14" t="s">
        <v>11</v>
      </c>
      <c r="B97" s="14">
        <v>45</v>
      </c>
      <c r="C97" s="14" t="s">
        <v>222</v>
      </c>
      <c r="D97" s="14" t="s">
        <v>223</v>
      </c>
      <c r="E97" s="14" t="s">
        <v>228</v>
      </c>
      <c r="F97" s="14" t="s">
        <v>179</v>
      </c>
      <c r="H97" t="str">
        <f t="shared" si="1"/>
        <v>45 - What additional load and resource forecasting models are necessary to account for electrification, including large loads (e.g., data centers), coupling of the transportation and building sectors, and demand-side flexibility? </v>
      </c>
    </row>
    <row r="98" spans="1:8" x14ac:dyDescent="0.25">
      <c r="A98" s="14" t="s">
        <v>11</v>
      </c>
      <c r="B98" s="14">
        <v>46</v>
      </c>
      <c r="C98" s="14" t="s">
        <v>229</v>
      </c>
      <c r="D98" s="14" t="s">
        <v>230</v>
      </c>
      <c r="E98" s="14" t="s">
        <v>231</v>
      </c>
      <c r="F98" s="14" t="s">
        <v>179</v>
      </c>
      <c r="H98" t="str">
        <f t="shared" si="1"/>
        <v>46 - What additional methods, tools, and metrics are necessary to incorporate resilience concepts and the ability to recover and adapt to adverse conditions, considering uncertain future states into planning a power system with a high share of renewables? </v>
      </c>
    </row>
    <row r="99" spans="1:8" x14ac:dyDescent="0.25">
      <c r="A99" s="14" t="s">
        <v>11</v>
      </c>
      <c r="B99" s="14">
        <v>47</v>
      </c>
      <c r="C99" s="14" t="s">
        <v>229</v>
      </c>
      <c r="D99" s="14" t="s">
        <v>230</v>
      </c>
      <c r="E99" s="14" t="s">
        <v>232</v>
      </c>
      <c r="F99" s="14" t="s">
        <v>179</v>
      </c>
      <c r="H99" t="str">
        <f t="shared" si="1"/>
        <v>47 - How do system operators adequately account for the overall system impact of extreme events in planning studies, particularly those that impact the system with a high share of flexible resources in both supply and demand (wind, solar, demand-side flexibility)? </v>
      </c>
    </row>
    <row r="100" spans="1:8" x14ac:dyDescent="0.25">
      <c r="A100" s="14" t="s">
        <v>11</v>
      </c>
      <c r="B100" s="14">
        <v>48</v>
      </c>
      <c r="C100" s="14" t="s">
        <v>229</v>
      </c>
      <c r="D100" s="14" t="s">
        <v>230</v>
      </c>
      <c r="E100" s="14" t="s">
        <v>233</v>
      </c>
      <c r="F100" s="14" t="s">
        <v>179</v>
      </c>
      <c r="H100" t="str">
        <f t="shared" si="1"/>
        <v>48 - What additional planning models and methods are needed to plan for a system that can withstand expected or unexpected lulls (e.g., an extended wind drought, or a dunkelflaute)?  </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D5B3B-4BB5-4E9A-8610-1C8DC31A6400}">
  <sheetPr codeName="Sheet4"/>
  <dimension ref="A1:G105"/>
  <sheetViews>
    <sheetView topLeftCell="C1" workbookViewId="0">
      <selection activeCell="G2" sqref="G2"/>
    </sheetView>
  </sheetViews>
  <sheetFormatPr defaultRowHeight="15" x14ac:dyDescent="0.25"/>
  <cols>
    <col min="1" max="1" width="13.140625" bestFit="1" customWidth="1"/>
    <col min="2" max="2" width="28.7109375" customWidth="1"/>
    <col min="3" max="3" width="69.28515625" bestFit="1" customWidth="1"/>
    <col min="4" max="4" width="20.42578125" bestFit="1" customWidth="1"/>
    <col min="5" max="5" width="13.140625" bestFit="1" customWidth="1"/>
    <col min="6" max="6" width="5.85546875" bestFit="1" customWidth="1"/>
    <col min="7" max="7" width="69.28515625" bestFit="1" customWidth="1"/>
  </cols>
  <sheetData>
    <row r="1" spans="1:7" x14ac:dyDescent="0.25">
      <c r="A1" t="s">
        <v>263</v>
      </c>
      <c r="B1" t="s">
        <v>1</v>
      </c>
      <c r="C1" t="s">
        <v>3</v>
      </c>
      <c r="D1" t="s">
        <v>264</v>
      </c>
      <c r="E1" t="s">
        <v>265</v>
      </c>
      <c r="F1" t="s">
        <v>266</v>
      </c>
      <c r="G1" t="s">
        <v>267</v>
      </c>
    </row>
    <row r="2" spans="1:7" ht="240" x14ac:dyDescent="0.25">
      <c r="A2" s="13">
        <v>1</v>
      </c>
      <c r="B2" s="13" t="s">
        <v>2</v>
      </c>
      <c r="C2" s="13" t="s">
        <v>4</v>
      </c>
      <c r="D2" t="s">
        <v>11</v>
      </c>
      <c r="E2" t="s">
        <v>268</v>
      </c>
      <c r="F2">
        <v>1</v>
      </c>
      <c r="G2" s="13" t="s">
        <v>269</v>
      </c>
    </row>
    <row r="3" spans="1:7" ht="270" x14ac:dyDescent="0.25">
      <c r="A3" s="13">
        <v>103</v>
      </c>
      <c r="B3" s="13" t="s">
        <v>270</v>
      </c>
      <c r="C3" s="13" t="s">
        <v>271</v>
      </c>
      <c r="D3" t="s">
        <v>25</v>
      </c>
      <c r="E3" t="s">
        <v>268</v>
      </c>
      <c r="F3">
        <v>1</v>
      </c>
      <c r="G3" s="13" t="s">
        <v>272</v>
      </c>
    </row>
    <row r="4" spans="1:7" ht="330" x14ac:dyDescent="0.25">
      <c r="A4" s="13">
        <v>115</v>
      </c>
      <c r="B4" s="13" t="s">
        <v>273</v>
      </c>
      <c r="C4" s="13" t="s">
        <v>274</v>
      </c>
      <c r="D4" t="s">
        <v>25</v>
      </c>
      <c r="E4" t="s">
        <v>268</v>
      </c>
      <c r="F4">
        <v>1</v>
      </c>
      <c r="G4" s="13" t="s">
        <v>275</v>
      </c>
    </row>
    <row r="5" spans="1:7" ht="345" x14ac:dyDescent="0.25">
      <c r="A5" s="13">
        <v>81</v>
      </c>
      <c r="B5" s="13" t="s">
        <v>276</v>
      </c>
      <c r="C5" s="13" t="s">
        <v>277</v>
      </c>
      <c r="D5" t="s">
        <v>278</v>
      </c>
      <c r="E5" t="s">
        <v>268</v>
      </c>
      <c r="F5">
        <v>1</v>
      </c>
      <c r="G5" s="13" t="s">
        <v>279</v>
      </c>
    </row>
    <row r="6" spans="1:7" ht="315" x14ac:dyDescent="0.25">
      <c r="A6" s="13">
        <v>134</v>
      </c>
      <c r="B6" s="13" t="s">
        <v>133</v>
      </c>
      <c r="C6" s="13" t="s">
        <v>280</v>
      </c>
      <c r="D6" t="s">
        <v>45</v>
      </c>
      <c r="E6" t="s">
        <v>268</v>
      </c>
      <c r="F6">
        <v>1</v>
      </c>
      <c r="G6" s="13" t="s">
        <v>281</v>
      </c>
    </row>
    <row r="7" spans="1:7" ht="225" x14ac:dyDescent="0.25">
      <c r="A7" s="13">
        <v>71</v>
      </c>
      <c r="B7" s="13" t="s">
        <v>282</v>
      </c>
      <c r="C7" s="13" t="s">
        <v>283</v>
      </c>
      <c r="D7" t="s">
        <v>25</v>
      </c>
      <c r="E7" t="s">
        <v>268</v>
      </c>
      <c r="F7">
        <v>1</v>
      </c>
      <c r="G7" s="13" t="s">
        <v>284</v>
      </c>
    </row>
    <row r="8" spans="1:7" ht="300" x14ac:dyDescent="0.25">
      <c r="A8" s="13">
        <v>146</v>
      </c>
      <c r="B8" s="13" t="s">
        <v>163</v>
      </c>
      <c r="C8" s="13" t="s">
        <v>285</v>
      </c>
      <c r="D8" t="s">
        <v>45</v>
      </c>
      <c r="E8" t="s">
        <v>268</v>
      </c>
      <c r="F8">
        <v>1</v>
      </c>
      <c r="G8" s="13" t="s">
        <v>286</v>
      </c>
    </row>
    <row r="9" spans="1:7" ht="225" x14ac:dyDescent="0.25">
      <c r="A9" s="13">
        <v>65</v>
      </c>
      <c r="B9" s="13" t="s">
        <v>95</v>
      </c>
      <c r="C9" s="13" t="s">
        <v>287</v>
      </c>
      <c r="D9" t="s">
        <v>288</v>
      </c>
      <c r="E9" t="s">
        <v>268</v>
      </c>
      <c r="F9">
        <v>1</v>
      </c>
      <c r="G9" s="13" t="s">
        <v>289</v>
      </c>
    </row>
    <row r="10" spans="1:7" ht="285" x14ac:dyDescent="0.25">
      <c r="A10" s="13">
        <v>281</v>
      </c>
      <c r="B10" s="13" t="s">
        <v>157</v>
      </c>
      <c r="C10" s="13" t="s">
        <v>290</v>
      </c>
      <c r="D10" t="s">
        <v>16</v>
      </c>
      <c r="E10" t="s">
        <v>268</v>
      </c>
      <c r="F10">
        <v>1</v>
      </c>
      <c r="G10" s="13" t="s">
        <v>291</v>
      </c>
    </row>
    <row r="11" spans="1:7" ht="300" x14ac:dyDescent="0.25">
      <c r="A11" s="13">
        <v>156</v>
      </c>
      <c r="B11" s="13" t="s">
        <v>292</v>
      </c>
      <c r="C11" s="13" t="s">
        <v>293</v>
      </c>
      <c r="D11" t="s">
        <v>25</v>
      </c>
      <c r="E11" t="s">
        <v>268</v>
      </c>
      <c r="G11" s="13" t="s">
        <v>294</v>
      </c>
    </row>
    <row r="12" spans="1:7" ht="195" x14ac:dyDescent="0.25">
      <c r="A12" s="13">
        <v>57</v>
      </c>
      <c r="B12" s="13" t="s">
        <v>295</v>
      </c>
      <c r="C12" s="13" t="s">
        <v>296</v>
      </c>
      <c r="D12" t="s">
        <v>25</v>
      </c>
      <c r="E12" t="s">
        <v>268</v>
      </c>
      <c r="G12" s="13" t="s">
        <v>297</v>
      </c>
    </row>
    <row r="13" spans="1:7" ht="285" x14ac:dyDescent="0.25">
      <c r="A13" s="13">
        <v>241</v>
      </c>
      <c r="B13" s="13" t="s">
        <v>118</v>
      </c>
      <c r="C13" s="13" t="s">
        <v>298</v>
      </c>
      <c r="D13" t="s">
        <v>11</v>
      </c>
      <c r="E13" t="s">
        <v>268</v>
      </c>
      <c r="F13">
        <v>1</v>
      </c>
      <c r="G13" s="13" t="s">
        <v>299</v>
      </c>
    </row>
    <row r="14" spans="1:7" ht="315" x14ac:dyDescent="0.25">
      <c r="A14" s="13">
        <v>94</v>
      </c>
      <c r="B14" s="13" t="s">
        <v>101</v>
      </c>
      <c r="C14" s="13" t="s">
        <v>300</v>
      </c>
      <c r="D14" t="s">
        <v>278</v>
      </c>
      <c r="E14" t="s">
        <v>268</v>
      </c>
      <c r="F14">
        <v>1</v>
      </c>
      <c r="G14" s="13" t="s">
        <v>301</v>
      </c>
    </row>
    <row r="15" spans="1:7" ht="285" x14ac:dyDescent="0.25">
      <c r="A15" s="13">
        <v>44</v>
      </c>
      <c r="B15" s="13" t="s">
        <v>110</v>
      </c>
      <c r="C15" s="13" t="s">
        <v>302</v>
      </c>
      <c r="D15" t="s">
        <v>16</v>
      </c>
      <c r="E15" t="s">
        <v>268</v>
      </c>
      <c r="F15">
        <v>1</v>
      </c>
      <c r="G15" s="13" t="s">
        <v>303</v>
      </c>
    </row>
    <row r="16" spans="1:7" ht="240" x14ac:dyDescent="0.25">
      <c r="A16" s="13">
        <v>185</v>
      </c>
      <c r="B16" s="13" t="s">
        <v>304</v>
      </c>
      <c r="C16" s="13" t="s">
        <v>305</v>
      </c>
      <c r="D16" t="s">
        <v>45</v>
      </c>
      <c r="E16" t="s">
        <v>268</v>
      </c>
      <c r="F16">
        <v>1</v>
      </c>
      <c r="G16" s="13" t="s">
        <v>306</v>
      </c>
    </row>
    <row r="17" spans="1:7" ht="300" x14ac:dyDescent="0.25">
      <c r="A17" s="13">
        <v>174</v>
      </c>
      <c r="B17" s="13" t="s">
        <v>147</v>
      </c>
      <c r="C17" s="13" t="s">
        <v>307</v>
      </c>
      <c r="D17" t="s">
        <v>11</v>
      </c>
      <c r="E17" t="s">
        <v>268</v>
      </c>
      <c r="F17">
        <v>1</v>
      </c>
      <c r="G17" s="13" t="s">
        <v>308</v>
      </c>
    </row>
    <row r="18" spans="1:7" ht="345" x14ac:dyDescent="0.25">
      <c r="A18" s="13">
        <v>194</v>
      </c>
      <c r="B18" s="13" t="s">
        <v>105</v>
      </c>
      <c r="C18" s="13" t="s">
        <v>309</v>
      </c>
      <c r="D18" t="s">
        <v>288</v>
      </c>
      <c r="E18" t="s">
        <v>268</v>
      </c>
      <c r="F18">
        <v>1</v>
      </c>
      <c r="G18" s="13" t="s">
        <v>310</v>
      </c>
    </row>
    <row r="19" spans="1:7" ht="285" x14ac:dyDescent="0.25">
      <c r="A19" s="13">
        <v>227</v>
      </c>
      <c r="B19" s="13" t="s">
        <v>311</v>
      </c>
      <c r="C19" s="13" t="s">
        <v>312</v>
      </c>
      <c r="E19" t="s">
        <v>268</v>
      </c>
      <c r="G19" s="13" t="s">
        <v>313</v>
      </c>
    </row>
    <row r="20" spans="1:7" ht="285" x14ac:dyDescent="0.25">
      <c r="A20" s="13">
        <v>212</v>
      </c>
      <c r="B20" s="13" t="s">
        <v>142</v>
      </c>
      <c r="C20" s="13" t="s">
        <v>314</v>
      </c>
      <c r="D20" t="s">
        <v>16</v>
      </c>
      <c r="E20" t="s">
        <v>268</v>
      </c>
      <c r="F20">
        <v>1</v>
      </c>
      <c r="G20" s="13" t="s">
        <v>315</v>
      </c>
    </row>
    <row r="21" spans="1:7" ht="285" x14ac:dyDescent="0.25">
      <c r="A21" s="13">
        <v>15</v>
      </c>
      <c r="B21" s="13" t="s">
        <v>316</v>
      </c>
      <c r="C21" s="13" t="s">
        <v>317</v>
      </c>
      <c r="D21" t="s">
        <v>288</v>
      </c>
      <c r="E21" t="s">
        <v>268</v>
      </c>
      <c r="F21">
        <v>1</v>
      </c>
      <c r="G21" s="13" t="s">
        <v>318</v>
      </c>
    </row>
    <row r="22" spans="1:7" ht="255" x14ac:dyDescent="0.25">
      <c r="A22" s="13">
        <v>231</v>
      </c>
      <c r="B22" s="13" t="s">
        <v>137</v>
      </c>
      <c r="C22" s="13" t="s">
        <v>319</v>
      </c>
      <c r="D22" t="s">
        <v>278</v>
      </c>
      <c r="E22" t="s">
        <v>268</v>
      </c>
      <c r="F22">
        <v>1</v>
      </c>
      <c r="G22" s="13" t="s">
        <v>320</v>
      </c>
    </row>
    <row r="23" spans="1:7" ht="270" x14ac:dyDescent="0.25">
      <c r="A23" s="13">
        <v>293</v>
      </c>
      <c r="B23" s="13" t="s">
        <v>321</v>
      </c>
      <c r="C23" s="13" t="s">
        <v>322</v>
      </c>
      <c r="D23" t="s">
        <v>11</v>
      </c>
      <c r="E23" t="s">
        <v>268</v>
      </c>
      <c r="G23" s="13" t="s">
        <v>323</v>
      </c>
    </row>
    <row r="24" spans="1:7" ht="285" x14ac:dyDescent="0.25">
      <c r="A24" s="13">
        <v>23</v>
      </c>
      <c r="B24" s="13" t="s">
        <v>324</v>
      </c>
      <c r="C24" s="13" t="s">
        <v>325</v>
      </c>
      <c r="D24" t="s">
        <v>288</v>
      </c>
      <c r="E24" t="s">
        <v>268</v>
      </c>
      <c r="G24" s="13" t="s">
        <v>326</v>
      </c>
    </row>
    <row r="25" spans="1:7" ht="300" x14ac:dyDescent="0.25">
      <c r="A25" s="13">
        <v>275</v>
      </c>
      <c r="B25" s="13" t="s">
        <v>327</v>
      </c>
      <c r="C25" s="13" t="s">
        <v>328</v>
      </c>
      <c r="D25" t="s">
        <v>45</v>
      </c>
      <c r="E25" t="s">
        <v>268</v>
      </c>
      <c r="G25" s="13" t="s">
        <v>329</v>
      </c>
    </row>
    <row r="26" spans="1:7" ht="240" x14ac:dyDescent="0.25">
      <c r="A26" s="13">
        <v>34</v>
      </c>
      <c r="B26" s="13" t="s">
        <v>330</v>
      </c>
      <c r="C26" s="13" t="s">
        <v>331</v>
      </c>
      <c r="D26" t="s">
        <v>11</v>
      </c>
      <c r="E26" t="s">
        <v>268</v>
      </c>
      <c r="G26" s="13" t="s">
        <v>332</v>
      </c>
    </row>
    <row r="27" spans="1:7" ht="240" x14ac:dyDescent="0.25">
      <c r="A27" s="13">
        <v>205</v>
      </c>
      <c r="B27" s="13" t="s">
        <v>333</v>
      </c>
      <c r="C27" s="13" t="s">
        <v>334</v>
      </c>
      <c r="D27" t="s">
        <v>25</v>
      </c>
      <c r="E27" t="s">
        <v>268</v>
      </c>
      <c r="G27" s="13" t="s">
        <v>335</v>
      </c>
    </row>
    <row r="28" spans="1:7" ht="225" x14ac:dyDescent="0.25">
      <c r="A28" s="13">
        <v>161</v>
      </c>
      <c r="B28" s="13" t="s">
        <v>336</v>
      </c>
      <c r="C28" s="13" t="s">
        <v>337</v>
      </c>
      <c r="D28" t="s">
        <v>11</v>
      </c>
      <c r="E28" t="s">
        <v>338</v>
      </c>
      <c r="G28" s="13" t="s">
        <v>339</v>
      </c>
    </row>
    <row r="29" spans="1:7" ht="315" x14ac:dyDescent="0.25">
      <c r="A29" s="13">
        <v>251</v>
      </c>
      <c r="B29" s="13" t="s">
        <v>340</v>
      </c>
      <c r="C29" s="19" t="s">
        <v>341</v>
      </c>
      <c r="D29" t="s">
        <v>288</v>
      </c>
      <c r="E29" t="s">
        <v>338</v>
      </c>
      <c r="G29" s="13" t="s">
        <v>342</v>
      </c>
    </row>
    <row r="30" spans="1:7" ht="105" x14ac:dyDescent="0.25">
      <c r="A30" s="13">
        <v>188</v>
      </c>
      <c r="B30" s="13" t="s">
        <v>343</v>
      </c>
      <c r="C30" s="19" t="s">
        <v>344</v>
      </c>
      <c r="D30" t="s">
        <v>45</v>
      </c>
      <c r="E30" t="s">
        <v>338</v>
      </c>
      <c r="G30" s="13" t="s">
        <v>345</v>
      </c>
    </row>
    <row r="31" spans="1:7" ht="300" x14ac:dyDescent="0.25">
      <c r="A31" s="13">
        <v>206</v>
      </c>
      <c r="B31" s="13" t="s">
        <v>346</v>
      </c>
      <c r="C31" s="13" t="s">
        <v>347</v>
      </c>
      <c r="D31" t="s">
        <v>288</v>
      </c>
      <c r="E31" t="s">
        <v>338</v>
      </c>
      <c r="G31" s="13" t="s">
        <v>348</v>
      </c>
    </row>
    <row r="32" spans="1:7" ht="240" x14ac:dyDescent="0.25">
      <c r="A32" s="13">
        <v>232</v>
      </c>
      <c r="B32" s="13" t="s">
        <v>349</v>
      </c>
      <c r="C32" s="13" t="s">
        <v>350</v>
      </c>
      <c r="D32" s="20" t="s">
        <v>288</v>
      </c>
      <c r="E32" s="20" t="s">
        <v>338</v>
      </c>
      <c r="G32" s="13" t="s">
        <v>351</v>
      </c>
    </row>
    <row r="33" spans="1:7" ht="195" x14ac:dyDescent="0.25">
      <c r="A33" s="13">
        <v>136</v>
      </c>
      <c r="B33" s="13" t="s">
        <v>352</v>
      </c>
      <c r="C33" s="13" t="s">
        <v>353</v>
      </c>
      <c r="D33" t="s">
        <v>11</v>
      </c>
      <c r="E33" t="s">
        <v>338</v>
      </c>
      <c r="G33" s="13" t="s">
        <v>354</v>
      </c>
    </row>
    <row r="34" spans="1:7" ht="270" x14ac:dyDescent="0.25">
      <c r="A34" s="13">
        <v>195</v>
      </c>
      <c r="B34" s="13" t="s">
        <v>355</v>
      </c>
      <c r="C34" s="13" t="s">
        <v>356</v>
      </c>
      <c r="D34" t="s">
        <v>25</v>
      </c>
      <c r="E34" t="s">
        <v>338</v>
      </c>
      <c r="G34" s="13" t="s">
        <v>357</v>
      </c>
    </row>
    <row r="35" spans="1:7" ht="195" x14ac:dyDescent="0.25">
      <c r="A35" s="13">
        <v>127</v>
      </c>
      <c r="B35" s="13" t="s">
        <v>358</v>
      </c>
      <c r="C35" s="13" t="s">
        <v>359</v>
      </c>
      <c r="D35" t="s">
        <v>25</v>
      </c>
      <c r="E35" t="s">
        <v>338</v>
      </c>
      <c r="G35" s="13" t="s">
        <v>360</v>
      </c>
    </row>
    <row r="36" spans="1:7" ht="240" x14ac:dyDescent="0.25">
      <c r="A36" s="13">
        <v>214</v>
      </c>
      <c r="B36" s="13" t="s">
        <v>361</v>
      </c>
      <c r="C36" s="13" t="s">
        <v>362</v>
      </c>
      <c r="D36" s="20" t="s">
        <v>288</v>
      </c>
      <c r="E36" s="20" t="s">
        <v>338</v>
      </c>
      <c r="G36" s="13" t="s">
        <v>363</v>
      </c>
    </row>
    <row r="37" spans="1:7" ht="315" x14ac:dyDescent="0.25">
      <c r="A37" s="13">
        <v>228</v>
      </c>
      <c r="B37" s="13" t="s">
        <v>129</v>
      </c>
      <c r="C37" s="13" t="s">
        <v>364</v>
      </c>
      <c r="D37" t="s">
        <v>182</v>
      </c>
      <c r="E37" t="s">
        <v>338</v>
      </c>
      <c r="F37">
        <v>1</v>
      </c>
      <c r="G37" s="13" t="s">
        <v>365</v>
      </c>
    </row>
    <row r="38" spans="1:7" ht="285" x14ac:dyDescent="0.25">
      <c r="A38" s="13">
        <v>175</v>
      </c>
      <c r="B38" s="13" t="s">
        <v>366</v>
      </c>
      <c r="C38" s="13" t="s">
        <v>367</v>
      </c>
      <c r="D38" t="s">
        <v>45</v>
      </c>
      <c r="E38" t="s">
        <v>338</v>
      </c>
      <c r="G38" s="13" t="s">
        <v>368</v>
      </c>
    </row>
    <row r="39" spans="1:7" ht="300" x14ac:dyDescent="0.25">
      <c r="A39" s="13">
        <v>147</v>
      </c>
      <c r="B39" s="13" t="s">
        <v>369</v>
      </c>
      <c r="C39" s="13" t="s">
        <v>370</v>
      </c>
      <c r="D39" t="s">
        <v>11</v>
      </c>
      <c r="E39" t="s">
        <v>338</v>
      </c>
      <c r="G39" s="13" t="s">
        <v>371</v>
      </c>
    </row>
    <row r="40" spans="1:7" ht="300" x14ac:dyDescent="0.25">
      <c r="A40" s="13">
        <v>106</v>
      </c>
      <c r="B40" s="13" t="s">
        <v>372</v>
      </c>
      <c r="C40" s="13" t="s">
        <v>373</v>
      </c>
      <c r="D40" t="s">
        <v>25</v>
      </c>
      <c r="E40" t="s">
        <v>338</v>
      </c>
      <c r="G40" s="13" t="s">
        <v>374</v>
      </c>
    </row>
    <row r="41" spans="1:7" ht="210" x14ac:dyDescent="0.25">
      <c r="A41" s="13">
        <v>97</v>
      </c>
      <c r="B41" s="13" t="s">
        <v>375</v>
      </c>
      <c r="C41" s="13" t="s">
        <v>376</v>
      </c>
      <c r="D41" t="s">
        <v>288</v>
      </c>
      <c r="E41" t="s">
        <v>338</v>
      </c>
      <c r="G41" s="13" t="s">
        <v>377</v>
      </c>
    </row>
    <row r="42" spans="1:7" ht="315" x14ac:dyDescent="0.25">
      <c r="A42" s="13">
        <v>282</v>
      </c>
      <c r="B42" s="13" t="s">
        <v>378</v>
      </c>
      <c r="C42" s="13" t="s">
        <v>379</v>
      </c>
      <c r="D42" t="s">
        <v>11</v>
      </c>
      <c r="E42" t="s">
        <v>338</v>
      </c>
      <c r="G42" s="13" t="s">
        <v>380</v>
      </c>
    </row>
    <row r="43" spans="1:7" ht="300" x14ac:dyDescent="0.25">
      <c r="A43" s="13">
        <v>58</v>
      </c>
      <c r="B43" s="13" t="s">
        <v>381</v>
      </c>
      <c r="C43" s="13" t="s">
        <v>382</v>
      </c>
      <c r="D43" t="s">
        <v>11</v>
      </c>
      <c r="E43" t="s">
        <v>338</v>
      </c>
      <c r="G43" s="13" t="s">
        <v>383</v>
      </c>
    </row>
    <row r="44" spans="1:7" ht="270" x14ac:dyDescent="0.25">
      <c r="A44" s="13">
        <v>66</v>
      </c>
      <c r="B44" s="13" t="s">
        <v>384</v>
      </c>
      <c r="C44" s="13" t="s">
        <v>385</v>
      </c>
      <c r="D44" t="s">
        <v>25</v>
      </c>
      <c r="E44" t="s">
        <v>338</v>
      </c>
      <c r="G44" s="13" t="s">
        <v>386</v>
      </c>
    </row>
    <row r="45" spans="1:7" ht="240" x14ac:dyDescent="0.25">
      <c r="A45" s="13">
        <v>38</v>
      </c>
      <c r="B45" s="13" t="s">
        <v>387</v>
      </c>
      <c r="C45" s="13" t="s">
        <v>388</v>
      </c>
      <c r="D45" t="s">
        <v>11</v>
      </c>
      <c r="E45" t="s">
        <v>338</v>
      </c>
      <c r="G45" s="13" t="s">
        <v>389</v>
      </c>
    </row>
    <row r="46" spans="1:7" ht="300" x14ac:dyDescent="0.25">
      <c r="A46" s="13">
        <v>72</v>
      </c>
      <c r="B46" s="13" t="s">
        <v>390</v>
      </c>
      <c r="C46" s="13" t="s">
        <v>391</v>
      </c>
      <c r="D46" t="s">
        <v>45</v>
      </c>
      <c r="E46" t="s">
        <v>338</v>
      </c>
      <c r="G46" s="13" t="s">
        <v>392</v>
      </c>
    </row>
    <row r="47" spans="1:7" ht="405" x14ac:dyDescent="0.25">
      <c r="A47" s="13">
        <v>19</v>
      </c>
      <c r="B47" s="13" t="s">
        <v>393</v>
      </c>
      <c r="C47" s="13" t="s">
        <v>394</v>
      </c>
      <c r="D47" t="s">
        <v>278</v>
      </c>
      <c r="E47" t="s">
        <v>338</v>
      </c>
      <c r="G47" s="13" t="s">
        <v>395</v>
      </c>
    </row>
    <row r="48" spans="1:7" ht="180" x14ac:dyDescent="0.25">
      <c r="A48" s="13">
        <v>24</v>
      </c>
      <c r="B48" s="13" t="s">
        <v>396</v>
      </c>
      <c r="C48" s="13" t="s">
        <v>397</v>
      </c>
      <c r="D48" t="s">
        <v>288</v>
      </c>
      <c r="E48" t="s">
        <v>338</v>
      </c>
      <c r="G48" s="13" t="s">
        <v>398</v>
      </c>
    </row>
    <row r="49" spans="1:7" ht="315" x14ac:dyDescent="0.25">
      <c r="A49" s="13">
        <v>84</v>
      </c>
      <c r="B49" s="13" t="s">
        <v>399</v>
      </c>
      <c r="C49" s="13" t="s">
        <v>400</v>
      </c>
      <c r="D49" t="s">
        <v>25</v>
      </c>
      <c r="E49" t="s">
        <v>338</v>
      </c>
      <c r="G49" s="13" t="s">
        <v>401</v>
      </c>
    </row>
    <row r="50" spans="1:7" ht="330" x14ac:dyDescent="0.25">
      <c r="A50" s="13">
        <v>2</v>
      </c>
      <c r="B50" s="13" t="s">
        <v>402</v>
      </c>
      <c r="C50" s="13" t="s">
        <v>403</v>
      </c>
      <c r="D50" t="s">
        <v>25</v>
      </c>
      <c r="E50" t="s">
        <v>338</v>
      </c>
      <c r="G50" s="13" t="s">
        <v>404</v>
      </c>
    </row>
    <row r="51" spans="1:7" ht="300" x14ac:dyDescent="0.25">
      <c r="A51" s="13">
        <v>276</v>
      </c>
      <c r="B51" s="13" t="s">
        <v>405</v>
      </c>
      <c r="C51" s="13" t="s">
        <v>406</v>
      </c>
      <c r="D51" s="20" t="s">
        <v>45</v>
      </c>
      <c r="E51" s="20" t="s">
        <v>338</v>
      </c>
      <c r="G51" s="13" t="s">
        <v>407</v>
      </c>
    </row>
    <row r="52" spans="1:7" ht="225" x14ac:dyDescent="0.25">
      <c r="A52" s="13">
        <v>295</v>
      </c>
      <c r="B52" s="13" t="s">
        <v>408</v>
      </c>
      <c r="C52" s="13" t="s">
        <v>409</v>
      </c>
      <c r="D52" s="20" t="s">
        <v>45</v>
      </c>
      <c r="E52" s="20" t="s">
        <v>338</v>
      </c>
      <c r="G52" s="13" t="s">
        <v>410</v>
      </c>
    </row>
    <row r="53" spans="1:7" ht="300" x14ac:dyDescent="0.25">
      <c r="A53" s="13">
        <v>45</v>
      </c>
      <c r="B53" s="13" t="s">
        <v>125</v>
      </c>
      <c r="C53" s="13" t="s">
        <v>411</v>
      </c>
      <c r="D53" t="s">
        <v>182</v>
      </c>
      <c r="E53" t="s">
        <v>338</v>
      </c>
      <c r="F53">
        <v>1</v>
      </c>
      <c r="G53" s="13" t="s">
        <v>412</v>
      </c>
    </row>
    <row r="54" spans="1:7" ht="300" x14ac:dyDescent="0.25">
      <c r="A54" s="13">
        <v>208</v>
      </c>
      <c r="B54" s="13" t="s">
        <v>413</v>
      </c>
      <c r="C54" s="13" t="s">
        <v>414</v>
      </c>
      <c r="E54" t="s">
        <v>415</v>
      </c>
      <c r="G54" s="13" t="s">
        <v>416</v>
      </c>
    </row>
    <row r="55" spans="1:7" ht="315" x14ac:dyDescent="0.25">
      <c r="A55" s="13">
        <v>21</v>
      </c>
      <c r="B55" s="13" t="s">
        <v>417</v>
      </c>
      <c r="C55" s="13" t="s">
        <v>418</v>
      </c>
      <c r="E55" t="s">
        <v>415</v>
      </c>
      <c r="G55" s="13" t="s">
        <v>419</v>
      </c>
    </row>
    <row r="56" spans="1:7" ht="300" x14ac:dyDescent="0.25">
      <c r="A56" s="13">
        <v>287</v>
      </c>
      <c r="B56" s="13" t="s">
        <v>420</v>
      </c>
      <c r="C56" s="13" t="s">
        <v>421</v>
      </c>
      <c r="E56" t="s">
        <v>415</v>
      </c>
      <c r="G56" s="13" t="s">
        <v>422</v>
      </c>
    </row>
    <row r="57" spans="1:7" ht="165" x14ac:dyDescent="0.25">
      <c r="A57" s="13">
        <v>25</v>
      </c>
      <c r="B57" s="13" t="s">
        <v>423</v>
      </c>
      <c r="C57" s="13" t="s">
        <v>424</v>
      </c>
      <c r="E57" t="s">
        <v>415</v>
      </c>
      <c r="G57" s="13" t="s">
        <v>425</v>
      </c>
    </row>
    <row r="58" spans="1:7" ht="300" x14ac:dyDescent="0.25">
      <c r="A58" s="13">
        <v>198</v>
      </c>
      <c r="B58" s="13" t="s">
        <v>426</v>
      </c>
      <c r="C58" s="13" t="s">
        <v>427</v>
      </c>
      <c r="E58" t="s">
        <v>415</v>
      </c>
      <c r="G58" s="13" t="s">
        <v>428</v>
      </c>
    </row>
    <row r="59" spans="1:7" ht="270" x14ac:dyDescent="0.25">
      <c r="A59" s="13">
        <v>5</v>
      </c>
      <c r="B59" s="13" t="s">
        <v>429</v>
      </c>
      <c r="C59" s="13" t="s">
        <v>430</v>
      </c>
      <c r="E59" t="s">
        <v>415</v>
      </c>
      <c r="G59" s="13" t="s">
        <v>431</v>
      </c>
    </row>
    <row r="60" spans="1:7" ht="270" x14ac:dyDescent="0.25">
      <c r="A60" s="13">
        <v>236</v>
      </c>
      <c r="B60" s="13" t="s">
        <v>432</v>
      </c>
      <c r="C60" s="13" t="s">
        <v>433</v>
      </c>
      <c r="E60" t="s">
        <v>415</v>
      </c>
      <c r="G60" s="13" t="s">
        <v>434</v>
      </c>
    </row>
    <row r="61" spans="1:7" ht="315" x14ac:dyDescent="0.25">
      <c r="A61" s="13">
        <v>217</v>
      </c>
      <c r="B61" s="13" t="s">
        <v>435</v>
      </c>
      <c r="C61" s="13" t="s">
        <v>436</v>
      </c>
      <c r="E61" t="s">
        <v>415</v>
      </c>
      <c r="G61" s="13" t="s">
        <v>437</v>
      </c>
    </row>
    <row r="62" spans="1:7" ht="285" x14ac:dyDescent="0.25">
      <c r="A62" s="13">
        <v>191</v>
      </c>
      <c r="B62" s="13" t="s">
        <v>438</v>
      </c>
      <c r="C62" s="13" t="s">
        <v>439</v>
      </c>
      <c r="E62" t="s">
        <v>415</v>
      </c>
      <c r="G62" s="13" t="s">
        <v>440</v>
      </c>
    </row>
    <row r="63" spans="1:7" ht="330" x14ac:dyDescent="0.25">
      <c r="A63" s="13">
        <v>40</v>
      </c>
      <c r="B63" s="13" t="s">
        <v>441</v>
      </c>
      <c r="C63" s="13" t="s">
        <v>442</v>
      </c>
      <c r="E63" t="s">
        <v>415</v>
      </c>
      <c r="G63" s="13" t="s">
        <v>443</v>
      </c>
    </row>
    <row r="64" spans="1:7" ht="360" x14ac:dyDescent="0.25">
      <c r="A64" s="13">
        <v>49</v>
      </c>
      <c r="B64" s="13" t="s">
        <v>444</v>
      </c>
      <c r="C64" s="13" t="s">
        <v>445</v>
      </c>
      <c r="E64" t="s">
        <v>415</v>
      </c>
      <c r="G64" s="13" t="s">
        <v>446</v>
      </c>
    </row>
    <row r="65" spans="1:7" ht="255" x14ac:dyDescent="0.25">
      <c r="A65" s="13">
        <v>140</v>
      </c>
      <c r="B65" s="13" t="s">
        <v>447</v>
      </c>
      <c r="C65" s="13" t="s">
        <v>448</v>
      </c>
      <c r="E65" t="s">
        <v>415</v>
      </c>
      <c r="G65" s="13" t="s">
        <v>449</v>
      </c>
    </row>
    <row r="66" spans="1:7" ht="405" x14ac:dyDescent="0.25">
      <c r="A66" s="13">
        <v>89</v>
      </c>
      <c r="B66" s="13" t="s">
        <v>450</v>
      </c>
      <c r="C66" s="13" t="s">
        <v>451</v>
      </c>
      <c r="E66" t="s">
        <v>415</v>
      </c>
      <c r="G66" s="13" t="s">
        <v>452</v>
      </c>
    </row>
    <row r="67" spans="1:7" ht="300" x14ac:dyDescent="0.25">
      <c r="A67" s="13">
        <v>109</v>
      </c>
      <c r="B67" s="13" t="s">
        <v>453</v>
      </c>
      <c r="C67" s="13" t="s">
        <v>454</v>
      </c>
      <c r="E67" t="s">
        <v>415</v>
      </c>
      <c r="G67" s="13" t="s">
        <v>455</v>
      </c>
    </row>
    <row r="68" spans="1:7" ht="270" x14ac:dyDescent="0.25">
      <c r="A68" s="13">
        <v>277</v>
      </c>
      <c r="B68" s="13" t="s">
        <v>456</v>
      </c>
      <c r="C68" s="13" t="s">
        <v>457</v>
      </c>
      <c r="E68" t="s">
        <v>415</v>
      </c>
      <c r="G68" s="13" t="s">
        <v>458</v>
      </c>
    </row>
    <row r="69" spans="1:7" ht="300" x14ac:dyDescent="0.25">
      <c r="A69" s="13">
        <v>130</v>
      </c>
      <c r="B69" s="13" t="s">
        <v>459</v>
      </c>
      <c r="C69" s="13" t="s">
        <v>460</v>
      </c>
      <c r="E69" t="s">
        <v>415</v>
      </c>
      <c r="G69" s="13" t="s">
        <v>461</v>
      </c>
    </row>
    <row r="70" spans="1:7" ht="315" x14ac:dyDescent="0.25">
      <c r="A70" s="13">
        <v>270</v>
      </c>
      <c r="B70" s="13" t="s">
        <v>462</v>
      </c>
      <c r="C70" s="13" t="s">
        <v>463</v>
      </c>
      <c r="E70" t="s">
        <v>415</v>
      </c>
      <c r="G70" s="13" t="s">
        <v>464</v>
      </c>
    </row>
    <row r="71" spans="1:7" ht="285" x14ac:dyDescent="0.25">
      <c r="A71" s="13">
        <v>77</v>
      </c>
      <c r="B71" s="13" t="s">
        <v>465</v>
      </c>
      <c r="C71" s="13" t="s">
        <v>466</v>
      </c>
      <c r="E71" t="s">
        <v>415</v>
      </c>
      <c r="G71" s="13" t="s">
        <v>467</v>
      </c>
    </row>
    <row r="72" spans="1:7" ht="285" x14ac:dyDescent="0.25">
      <c r="A72" s="13">
        <v>176</v>
      </c>
      <c r="B72" s="13" t="s">
        <v>468</v>
      </c>
      <c r="C72" s="13" t="s">
        <v>469</v>
      </c>
      <c r="E72" t="s">
        <v>415</v>
      </c>
      <c r="G72" s="13" t="s">
        <v>470</v>
      </c>
    </row>
    <row r="73" spans="1:7" ht="345" x14ac:dyDescent="0.25">
      <c r="A73" s="13">
        <v>229</v>
      </c>
      <c r="B73" s="13" t="s">
        <v>471</v>
      </c>
      <c r="C73" s="13" t="s">
        <v>472</v>
      </c>
      <c r="E73" t="s">
        <v>415</v>
      </c>
      <c r="G73" s="13" t="s">
        <v>473</v>
      </c>
    </row>
    <row r="74" spans="1:7" ht="255" x14ac:dyDescent="0.25">
      <c r="A74" s="13">
        <v>68</v>
      </c>
      <c r="B74" s="13" t="s">
        <v>474</v>
      </c>
      <c r="C74" s="13" t="s">
        <v>475</v>
      </c>
      <c r="E74" t="s">
        <v>415</v>
      </c>
      <c r="G74" s="13" t="s">
        <v>476</v>
      </c>
    </row>
    <row r="75" spans="1:7" ht="300" x14ac:dyDescent="0.25">
      <c r="A75" s="13">
        <v>148</v>
      </c>
      <c r="B75" s="13" t="s">
        <v>477</v>
      </c>
      <c r="C75" s="13" t="s">
        <v>478</v>
      </c>
      <c r="E75" t="s">
        <v>415</v>
      </c>
      <c r="G75" s="13" t="s">
        <v>479</v>
      </c>
    </row>
    <row r="76" spans="1:7" ht="210" x14ac:dyDescent="0.25">
      <c r="A76" s="13">
        <v>59</v>
      </c>
      <c r="B76" s="13" t="s">
        <v>480</v>
      </c>
      <c r="C76" s="13" t="s">
        <v>481</v>
      </c>
      <c r="E76" t="s">
        <v>415</v>
      </c>
      <c r="G76" s="13" t="s">
        <v>482</v>
      </c>
    </row>
    <row r="77" spans="1:7" ht="345" x14ac:dyDescent="0.25">
      <c r="A77" s="13">
        <v>171</v>
      </c>
      <c r="B77" s="13" t="s">
        <v>483</v>
      </c>
      <c r="C77" s="13" t="s">
        <v>484</v>
      </c>
      <c r="E77" t="s">
        <v>415</v>
      </c>
      <c r="G77" s="13" t="s">
        <v>485</v>
      </c>
    </row>
    <row r="78" spans="1:7" ht="300" x14ac:dyDescent="0.25">
      <c r="A78" s="13">
        <v>99</v>
      </c>
      <c r="B78" s="13" t="s">
        <v>486</v>
      </c>
      <c r="C78" s="13" t="s">
        <v>487</v>
      </c>
      <c r="E78" t="s">
        <v>415</v>
      </c>
      <c r="G78" s="13" t="s">
        <v>488</v>
      </c>
    </row>
    <row r="79" spans="1:7" ht="345" x14ac:dyDescent="0.25">
      <c r="A79" s="13">
        <v>296</v>
      </c>
      <c r="B79" s="13" t="s">
        <v>489</v>
      </c>
      <c r="C79" s="13" t="s">
        <v>490</v>
      </c>
      <c r="E79" t="s">
        <v>415</v>
      </c>
      <c r="G79" s="13" t="s">
        <v>491</v>
      </c>
    </row>
    <row r="80" spans="1:7" ht="300" x14ac:dyDescent="0.25">
      <c r="A80" s="13">
        <v>280</v>
      </c>
      <c r="B80" s="13" t="s">
        <v>492</v>
      </c>
      <c r="C80" s="13" t="s">
        <v>493</v>
      </c>
      <c r="D80" t="s">
        <v>182</v>
      </c>
      <c r="E80" t="s">
        <v>494</v>
      </c>
      <c r="F80">
        <v>1</v>
      </c>
      <c r="G80" s="13" t="s">
        <v>495</v>
      </c>
    </row>
    <row r="81" spans="1:7" ht="285" x14ac:dyDescent="0.25">
      <c r="A81" s="13">
        <v>290</v>
      </c>
      <c r="B81" s="13" t="s">
        <v>496</v>
      </c>
      <c r="C81" s="13" t="s">
        <v>497</v>
      </c>
      <c r="D81" t="s">
        <v>25</v>
      </c>
      <c r="E81" t="s">
        <v>494</v>
      </c>
      <c r="G81" s="13" t="s">
        <v>498</v>
      </c>
    </row>
    <row r="82" spans="1:7" ht="300" x14ac:dyDescent="0.25">
      <c r="A82" s="13">
        <v>272</v>
      </c>
      <c r="B82" s="13" t="s">
        <v>499</v>
      </c>
      <c r="C82" s="13" t="s">
        <v>500</v>
      </c>
      <c r="D82" t="s">
        <v>16</v>
      </c>
      <c r="E82" t="s">
        <v>494</v>
      </c>
      <c r="G82" s="13" t="s">
        <v>501</v>
      </c>
    </row>
    <row r="83" spans="1:7" ht="210" x14ac:dyDescent="0.25">
      <c r="A83" s="13">
        <v>230</v>
      </c>
      <c r="B83" s="13" t="s">
        <v>502</v>
      </c>
      <c r="C83" s="13" t="s">
        <v>503</v>
      </c>
      <c r="D83" t="s">
        <v>25</v>
      </c>
      <c r="E83" t="s">
        <v>494</v>
      </c>
      <c r="G83" s="13" t="s">
        <v>504</v>
      </c>
    </row>
    <row r="84" spans="1:7" ht="225" x14ac:dyDescent="0.25">
      <c r="A84" s="13">
        <v>239</v>
      </c>
      <c r="B84" s="13" t="s">
        <v>505</v>
      </c>
      <c r="C84" s="13" t="s">
        <v>506</v>
      </c>
      <c r="D84" t="s">
        <v>278</v>
      </c>
      <c r="E84" t="s">
        <v>494</v>
      </c>
      <c r="G84" s="13" t="s">
        <v>507</v>
      </c>
    </row>
    <row r="85" spans="1:7" ht="270" x14ac:dyDescent="0.25">
      <c r="A85" s="13">
        <v>143</v>
      </c>
      <c r="B85" s="13" t="s">
        <v>508</v>
      </c>
      <c r="C85" s="13" t="s">
        <v>509</v>
      </c>
      <c r="D85" t="s">
        <v>278</v>
      </c>
      <c r="E85" t="s">
        <v>494</v>
      </c>
      <c r="G85" s="13" t="s">
        <v>510</v>
      </c>
    </row>
    <row r="86" spans="1:7" ht="300" x14ac:dyDescent="0.25">
      <c r="A86" s="13">
        <v>211</v>
      </c>
      <c r="B86" s="13" t="s">
        <v>511</v>
      </c>
      <c r="C86" s="13" t="s">
        <v>512</v>
      </c>
      <c r="D86" t="s">
        <v>16</v>
      </c>
      <c r="E86" t="s">
        <v>494</v>
      </c>
      <c r="G86" s="13" t="s">
        <v>513</v>
      </c>
    </row>
    <row r="87" spans="1:7" ht="270" x14ac:dyDescent="0.25">
      <c r="A87" s="13">
        <v>10</v>
      </c>
      <c r="B87" s="13" t="s">
        <v>514</v>
      </c>
      <c r="C87" s="13" t="s">
        <v>515</v>
      </c>
      <c r="D87" t="s">
        <v>11</v>
      </c>
      <c r="E87" t="s">
        <v>494</v>
      </c>
      <c r="G87" s="13" t="s">
        <v>516</v>
      </c>
    </row>
    <row r="88" spans="1:7" ht="210" x14ac:dyDescent="0.25">
      <c r="A88" s="13">
        <v>22</v>
      </c>
      <c r="B88" s="13" t="s">
        <v>517</v>
      </c>
      <c r="C88" s="13" t="s">
        <v>518</v>
      </c>
      <c r="D88" t="s">
        <v>278</v>
      </c>
      <c r="E88" t="s">
        <v>494</v>
      </c>
      <c r="G88" s="13" t="s">
        <v>519</v>
      </c>
    </row>
    <row r="89" spans="1:7" ht="255" x14ac:dyDescent="0.25">
      <c r="A89" s="13">
        <v>27</v>
      </c>
      <c r="B89" s="13" t="s">
        <v>520</v>
      </c>
      <c r="C89" s="13" t="s">
        <v>521</v>
      </c>
      <c r="D89" t="s">
        <v>278</v>
      </c>
      <c r="E89" t="s">
        <v>494</v>
      </c>
      <c r="G89" s="13" t="s">
        <v>522</v>
      </c>
    </row>
    <row r="90" spans="1:7" ht="300" x14ac:dyDescent="0.25">
      <c r="A90" s="13">
        <v>42</v>
      </c>
      <c r="B90" s="13" t="s">
        <v>523</v>
      </c>
      <c r="C90" s="13" t="s">
        <v>524</v>
      </c>
      <c r="E90" t="s">
        <v>494</v>
      </c>
      <c r="G90" s="13" t="s">
        <v>525</v>
      </c>
    </row>
    <row r="91" spans="1:7" ht="345" x14ac:dyDescent="0.25">
      <c r="A91" s="13">
        <v>55</v>
      </c>
      <c r="B91" s="13" t="s">
        <v>526</v>
      </c>
      <c r="C91" s="13" t="s">
        <v>527</v>
      </c>
      <c r="E91" t="s">
        <v>494</v>
      </c>
      <c r="G91" s="13" t="s">
        <v>528</v>
      </c>
    </row>
    <row r="92" spans="1:7" ht="375" x14ac:dyDescent="0.25">
      <c r="A92" s="13">
        <v>62</v>
      </c>
      <c r="B92" s="13" t="s">
        <v>529</v>
      </c>
      <c r="C92" s="13" t="s">
        <v>530</v>
      </c>
      <c r="E92" t="s">
        <v>494</v>
      </c>
      <c r="G92" s="13" t="s">
        <v>531</v>
      </c>
    </row>
    <row r="93" spans="1:7" ht="270" x14ac:dyDescent="0.25">
      <c r="A93" s="13">
        <v>69</v>
      </c>
      <c r="B93" s="13" t="s">
        <v>532</v>
      </c>
      <c r="C93" s="13" t="s">
        <v>533</v>
      </c>
      <c r="E93" t="s">
        <v>494</v>
      </c>
      <c r="G93" s="13" t="s">
        <v>534</v>
      </c>
    </row>
    <row r="94" spans="1:7" ht="330" x14ac:dyDescent="0.25">
      <c r="A94" s="13">
        <v>78</v>
      </c>
      <c r="B94" s="13" t="s">
        <v>535</v>
      </c>
      <c r="C94" s="13" t="s">
        <v>536</v>
      </c>
      <c r="E94" t="s">
        <v>494</v>
      </c>
      <c r="G94" s="13" t="s">
        <v>537</v>
      </c>
    </row>
    <row r="95" spans="1:7" ht="240" x14ac:dyDescent="0.25">
      <c r="A95" s="13">
        <v>90</v>
      </c>
      <c r="B95" s="13" t="s">
        <v>538</v>
      </c>
      <c r="C95" s="13" t="s">
        <v>539</v>
      </c>
      <c r="E95" t="s">
        <v>494</v>
      </c>
      <c r="G95" s="13" t="s">
        <v>540</v>
      </c>
    </row>
    <row r="96" spans="1:7" ht="225" x14ac:dyDescent="0.25">
      <c r="A96" s="13">
        <v>100</v>
      </c>
      <c r="B96" s="13" t="s">
        <v>541</v>
      </c>
      <c r="C96" s="13" t="s">
        <v>542</v>
      </c>
      <c r="E96" t="s">
        <v>494</v>
      </c>
      <c r="G96" s="13" t="s">
        <v>543</v>
      </c>
    </row>
    <row r="97" spans="1:7" ht="255" x14ac:dyDescent="0.25">
      <c r="A97" s="13">
        <v>110</v>
      </c>
      <c r="B97" s="13" t="s">
        <v>544</v>
      </c>
      <c r="C97" s="13" t="s">
        <v>545</v>
      </c>
      <c r="E97" t="s">
        <v>494</v>
      </c>
      <c r="G97" s="13" t="s">
        <v>546</v>
      </c>
    </row>
    <row r="98" spans="1:7" ht="270" x14ac:dyDescent="0.25">
      <c r="A98" s="13">
        <v>132</v>
      </c>
      <c r="B98" s="13" t="s">
        <v>547</v>
      </c>
      <c r="C98" s="13" t="s">
        <v>548</v>
      </c>
      <c r="E98" t="s">
        <v>494</v>
      </c>
      <c r="G98" s="13" t="s">
        <v>549</v>
      </c>
    </row>
    <row r="99" spans="1:7" ht="240" x14ac:dyDescent="0.25">
      <c r="A99" s="13">
        <v>154</v>
      </c>
      <c r="B99" s="13" t="s">
        <v>550</v>
      </c>
      <c r="C99" s="13" t="s">
        <v>551</v>
      </c>
      <c r="E99" t="s">
        <v>494</v>
      </c>
      <c r="G99" s="13" t="s">
        <v>552</v>
      </c>
    </row>
    <row r="100" spans="1:7" ht="255" x14ac:dyDescent="0.25">
      <c r="A100" s="13">
        <v>173</v>
      </c>
      <c r="B100" s="13" t="s">
        <v>553</v>
      </c>
      <c r="C100" s="13" t="s">
        <v>554</v>
      </c>
      <c r="E100" t="s">
        <v>494</v>
      </c>
      <c r="G100" s="13" t="s">
        <v>555</v>
      </c>
    </row>
    <row r="101" spans="1:7" ht="180" x14ac:dyDescent="0.25">
      <c r="A101" s="13">
        <v>178</v>
      </c>
      <c r="B101" s="13" t="s">
        <v>556</v>
      </c>
      <c r="C101" s="13" t="s">
        <v>557</v>
      </c>
      <c r="E101" t="s">
        <v>494</v>
      </c>
      <c r="G101" s="13" t="s">
        <v>558</v>
      </c>
    </row>
    <row r="102" spans="1:7" ht="240" x14ac:dyDescent="0.25">
      <c r="A102" s="13">
        <v>192</v>
      </c>
      <c r="B102" s="13" t="s">
        <v>559</v>
      </c>
      <c r="C102" s="13" t="s">
        <v>560</v>
      </c>
      <c r="E102" t="s">
        <v>494</v>
      </c>
      <c r="G102" s="13" t="s">
        <v>561</v>
      </c>
    </row>
    <row r="103" spans="1:7" ht="195" x14ac:dyDescent="0.25">
      <c r="A103" s="13">
        <v>202</v>
      </c>
      <c r="B103" s="13" t="s">
        <v>562</v>
      </c>
      <c r="C103" s="13" t="s">
        <v>563</v>
      </c>
      <c r="E103" t="s">
        <v>494</v>
      </c>
      <c r="G103" s="13" t="s">
        <v>564</v>
      </c>
    </row>
    <row r="104" spans="1:7" ht="285" x14ac:dyDescent="0.25">
      <c r="A104" s="13">
        <v>220</v>
      </c>
      <c r="B104" s="13" t="s">
        <v>565</v>
      </c>
      <c r="C104" s="13" t="s">
        <v>566</v>
      </c>
      <c r="E104" t="s">
        <v>494</v>
      </c>
      <c r="G104" s="13" t="s">
        <v>567</v>
      </c>
    </row>
    <row r="105" spans="1:7" ht="300" x14ac:dyDescent="0.25">
      <c r="A105" s="13">
        <v>300</v>
      </c>
      <c r="B105" s="13" t="s">
        <v>568</v>
      </c>
      <c r="C105" s="13" t="s">
        <v>569</v>
      </c>
      <c r="E105" t="s">
        <v>494</v>
      </c>
      <c r="G105" s="13" t="s">
        <v>570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B747-6A51-4A44-9E88-D9EA5B6835C1}">
  <dimension ref="A1:H131"/>
  <sheetViews>
    <sheetView tabSelected="1" workbookViewId="0">
      <selection activeCell="H1" sqref="A1:H1"/>
    </sheetView>
  </sheetViews>
  <sheetFormatPr defaultRowHeight="15" x14ac:dyDescent="0.25"/>
  <cols>
    <col min="1" max="1" width="15.28515625" customWidth="1"/>
    <col min="2" max="2" width="19.140625" customWidth="1"/>
    <col min="3" max="3" width="13.28515625" customWidth="1"/>
    <col min="4" max="4" width="114" customWidth="1"/>
    <col min="5" max="6" width="21" customWidth="1"/>
    <col min="7" max="7" width="41.85546875" customWidth="1"/>
    <col min="8" max="8" width="28.5703125" customWidth="1"/>
  </cols>
  <sheetData>
    <row r="1" spans="1:8" x14ac:dyDescent="0.25">
      <c r="A1" s="21" t="s">
        <v>0</v>
      </c>
      <c r="B1" s="21" t="s">
        <v>1</v>
      </c>
      <c r="C1" s="21" t="s">
        <v>87</v>
      </c>
      <c r="D1" s="21" t="s">
        <v>88</v>
      </c>
      <c r="E1" s="21" t="s">
        <v>571</v>
      </c>
      <c r="F1" s="21" t="s">
        <v>89</v>
      </c>
      <c r="G1" s="21" t="s">
        <v>572</v>
      </c>
      <c r="H1" s="21" t="s">
        <v>573</v>
      </c>
    </row>
    <row r="2" spans="1:8" x14ac:dyDescent="0.25">
      <c r="A2">
        <v>1</v>
      </c>
      <c r="B2" t="str">
        <f>IFERROR(INDEX('Abstracts List'!$B:$B,MATCH($A2,'Abstracts List'!$A:$A,0)),"")</f>
        <v>Scenario Reduction Network Based on Wasserstein Distance With Regularization</v>
      </c>
      <c r="C2">
        <v>23</v>
      </c>
      <c r="D2" t="str">
        <f>INDEX('Question context'!$D$2:$D$49,MATCH($C2,'Question context'!$C$2:$C$49,0))</f>
        <v>What is the best way to integrate large datasets, streaming information, and historical system performance to create actionable operational insights in an increasingly complex environment with multiple phenomena occurring within overlapping timescales?</v>
      </c>
      <c r="E2">
        <f>CHOOSE(N(INDEX('Question context'!$E$2:$Y$49,MATCH($C2,'Question context'!$C$2:$C$49,0),MATCH($A2,'Question context'!$E$1:$Y$1,0)))+1,10,30,50,70,90,110)</f>
        <v>30</v>
      </c>
      <c r="F2" t="str">
        <f t="shared" ref="F2:F16" si="0">IF(E2&gt;=70,"High",IF(E2&gt;=40,"Moderate","Low"))</f>
        <v>Low</v>
      </c>
      <c r="G2" t="s">
        <v>574</v>
      </c>
      <c r="H2" t="s">
        <v>575</v>
      </c>
    </row>
    <row r="3" spans="1:8" x14ac:dyDescent="0.25">
      <c r="A3">
        <v>1</v>
      </c>
      <c r="B3" t="str">
        <f>IFERROR(INDEX('Abstracts List'!$B:$B,MATCH($A3,'Abstracts List'!$A:$A,0)),"")</f>
        <v>Scenario Reduction Network Based on Wasserstein Distance With Regularization</v>
      </c>
      <c r="C3">
        <v>24</v>
      </c>
      <c r="D3" t="str">
        <f>INDEX('Question context'!$D$2:$D$49,MATCH($C3,'Question context'!$C$2:$C$49,0))</f>
        <v>How can the risk of high-impact low-probability events (weather-related and otherwise) be incorporated into security assessments in real time and operations planning?</v>
      </c>
      <c r="E3">
        <f>CHOOSE(N(INDEX('Question context'!$E$2:$Y$49,MATCH($C3,'Question context'!$C$2:$C$49,0),MATCH($A3,'Question context'!$E$1:$Y$1,0)))+1,10,30,50,70,90,110)</f>
        <v>50</v>
      </c>
      <c r="F3" t="str">
        <f t="shared" si="0"/>
        <v>Moderate</v>
      </c>
      <c r="G3" t="s">
        <v>576</v>
      </c>
      <c r="H3" t="s">
        <v>575</v>
      </c>
    </row>
    <row r="4" spans="1:8" x14ac:dyDescent="0.25">
      <c r="A4">
        <v>1</v>
      </c>
      <c r="B4" t="str">
        <f>IFERROR(INDEX('Abstracts List'!$B:$B,MATCH($A4,'Abstracts List'!$A:$A,0)),"")</f>
        <v>Scenario Reduction Network Based on Wasserstein Distance With Regularization</v>
      </c>
      <c r="C4">
        <v>27</v>
      </c>
      <c r="D4" t="str">
        <f>INDEX('Question context'!$D$2:$D$49,MATCH($C4,'Question context'!$C$2:$C$49,0))</f>
        <v>How can risk-based methods (e.g. probabilistic forecasting techniques) be better incorporated into operational decision-support tools and used consistently across multiple stages (e.g., real-time, day ahead, intraday planning)?</v>
      </c>
      <c r="E4">
        <f>CHOOSE(N(INDEX('Question context'!$E$2:$Y$49,MATCH($C4,'Question context'!$C$2:$C$49,0),MATCH($A4,'Question context'!$E$1:$Y$1,0)))+1,10,30,50,70,90,110)</f>
        <v>50</v>
      </c>
      <c r="F4" t="str">
        <f t="shared" si="0"/>
        <v>Moderate</v>
      </c>
      <c r="G4" t="s">
        <v>576</v>
      </c>
      <c r="H4" t="s">
        <v>575</v>
      </c>
    </row>
    <row r="5" spans="1:8" x14ac:dyDescent="0.25">
      <c r="A5">
        <v>1</v>
      </c>
      <c r="B5" t="str">
        <f>IFERROR(INDEX('Abstracts List'!$B:$B,MATCH($A5,'Abstracts List'!$A:$A,0)),"")</f>
        <v>Scenario Reduction Network Based on Wasserstein Distance With Regularization</v>
      </c>
      <c r="C5">
        <v>35</v>
      </c>
      <c r="D5" t="str">
        <f>INDEX('Question context'!$D$2:$D$49,MATCH($C5,'Question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5">
        <f>CHOOSE(N(INDEX('Question context'!$E$2:$Y$49,MATCH($C5,'Question context'!$C$2:$C$49,0),MATCH($A5,'Question context'!$E$1:$Y$1,0)))+1,10,30,50,70,90,110)</f>
        <v>30</v>
      </c>
      <c r="F5" t="str">
        <f t="shared" si="0"/>
        <v>Low</v>
      </c>
      <c r="G5" t="s">
        <v>577</v>
      </c>
      <c r="H5" t="s">
        <v>575</v>
      </c>
    </row>
    <row r="6" spans="1:8" x14ac:dyDescent="0.25">
      <c r="A6">
        <v>1</v>
      </c>
      <c r="B6" t="str">
        <f>IFERROR(INDEX('Abstracts List'!$B:$B,MATCH($A6,'Abstracts List'!$A:$A,0)),"")</f>
        <v>Scenario Reduction Network Based on Wasserstein Distance With Regularization</v>
      </c>
      <c r="C6">
        <v>37</v>
      </c>
      <c r="D6" t="str">
        <f>INDEX('Question context'!$D$2:$D$49,MATCH($C6,'Question context'!$C$2:$C$49,0))</f>
        <v>What studies and metrics are required to identify long-term scarcity of resources (capacity, energy, flexibility etc.) to maintain reliability?   </v>
      </c>
      <c r="E6">
        <f>CHOOSE(N(INDEX('Question context'!$E$2:$Y$49,MATCH($C6,'Question context'!$C$2:$C$49,0),MATCH($A6,'Question context'!$E$1:$Y$1,0)))+1,10,30,50,70,90,110)</f>
        <v>50</v>
      </c>
      <c r="F6" t="str">
        <f t="shared" si="0"/>
        <v>Moderate</v>
      </c>
      <c r="G6" t="s">
        <v>576</v>
      </c>
      <c r="H6" t="s">
        <v>575</v>
      </c>
    </row>
    <row r="7" spans="1:8" x14ac:dyDescent="0.25">
      <c r="A7">
        <v>1</v>
      </c>
      <c r="B7" t="str">
        <f>IFERROR(INDEX('Abstracts List'!$B:$B,MATCH($A7,'Abstracts List'!$A:$A,0)),"")</f>
        <v>Scenario Reduction Network Based on Wasserstein Distance With Regularization</v>
      </c>
      <c r="C7">
        <v>39</v>
      </c>
      <c r="D7" t="str">
        <f>INDEX('Question context'!$D$2:$D$49,MATCH($C7,'Question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7">
        <f>CHOOSE(N(INDEX('Question context'!$E$2:$Y$49,MATCH($C7,'Question context'!$C$2:$C$49,0),MATCH($A7,'Question context'!$E$1:$Y$1,0)))+1,10,30,50,70,90,110)</f>
        <v>30</v>
      </c>
      <c r="F7" t="str">
        <f t="shared" si="0"/>
        <v>Low</v>
      </c>
      <c r="G7" t="s">
        <v>574</v>
      </c>
      <c r="H7" t="s">
        <v>575</v>
      </c>
    </row>
    <row r="8" spans="1:8" x14ac:dyDescent="0.25">
      <c r="A8">
        <v>1</v>
      </c>
      <c r="B8" t="str">
        <f>IFERROR(INDEX('Abstracts List'!$B:$B,MATCH($A8,'Abstracts List'!$A:$A,0)),"")</f>
        <v>Scenario Reduction Network Based on Wasserstein Distance With Regularization</v>
      </c>
      <c r="C8">
        <v>41</v>
      </c>
      <c r="D8" t="str">
        <f>INDEX('Question context'!$D$2:$D$49,MATCH($C8,'Question context'!$C$2:$C$49,0))</f>
        <v>What additional probabilistic planning methods and tools are necessary for planning a power system with a high share of IBRs and in particular, variable renewable energy resources? </v>
      </c>
      <c r="E8">
        <f>CHOOSE(N(INDEX('Question context'!$E$2:$Y$49,MATCH($C8,'Question context'!$C$2:$C$49,0),MATCH($A8,'Question context'!$E$1:$Y$1,0)))+1,10,30,50,70,90,110)</f>
        <v>70</v>
      </c>
      <c r="F8" t="str">
        <f t="shared" si="0"/>
        <v>High</v>
      </c>
      <c r="G8" t="s">
        <v>578</v>
      </c>
      <c r="H8" t="s">
        <v>575</v>
      </c>
    </row>
    <row r="9" spans="1:8" x14ac:dyDescent="0.25">
      <c r="A9">
        <v>1</v>
      </c>
      <c r="B9" t="str">
        <f>IFERROR(INDEX('Abstracts List'!$B:$B,MATCH($A9,'Abstracts List'!$A:$A,0)),"")</f>
        <v>Scenario Reduction Network Based on Wasserstein Distance With Regularization</v>
      </c>
      <c r="C9">
        <v>42</v>
      </c>
      <c r="D9" t="str">
        <f>INDEX('Question context'!$D$2:$D$49,MATCH($C9,'Question context'!$C$2:$C$49,0))</f>
        <v>What additional planning models and methods are needed to plan for various levels of uncertainty and no-regrets investments in a paradigm of increasing electrification and growing IBR and DER penetrations? </v>
      </c>
      <c r="E9">
        <f>CHOOSE(N(INDEX('Question context'!$E$2:$Y$49,MATCH($C9,'Question context'!$C$2:$C$49,0),MATCH($A9,'Question context'!$E$1:$Y$1,0)))+1,10,30,50,70,90,110)</f>
        <v>50</v>
      </c>
      <c r="F9" t="str">
        <f t="shared" si="0"/>
        <v>Moderate</v>
      </c>
      <c r="G9" t="s">
        <v>576</v>
      </c>
      <c r="H9" t="s">
        <v>575</v>
      </c>
    </row>
    <row r="10" spans="1:8" x14ac:dyDescent="0.25">
      <c r="A10">
        <v>1</v>
      </c>
      <c r="B10" t="str">
        <f>IFERROR(INDEX('Abstracts List'!$B:$B,MATCH($A10,'Abstracts List'!$A:$A,0)),"")</f>
        <v>Scenario Reduction Network Based on Wasserstein Distance With Regularization</v>
      </c>
      <c r="C10">
        <v>43</v>
      </c>
      <c r="D10" t="str">
        <f>INDEX('Question context'!$D$2:$D$49,MATCH($C10,'Question context'!$C$2:$C$49,0))</f>
        <v>What changes can be incorporated into the transmission planning process, especially inter-regional planning, to unlock multi-value system benefits and accommodate new drivers of uncertainty (e.g., large growth due to electrification or low growth due to increased use of DERs)? </v>
      </c>
      <c r="E10">
        <f>CHOOSE(N(INDEX('Question context'!$E$2:$Y$49,MATCH($C10,'Question context'!$C$2:$C$49,0),MATCH($A10,'Question context'!$E$1:$Y$1,0)))+1,10,30,50,70,90,110)</f>
        <v>50</v>
      </c>
      <c r="F10" t="str">
        <f t="shared" si="0"/>
        <v>Moderate</v>
      </c>
      <c r="G10" t="s">
        <v>576</v>
      </c>
      <c r="H10" t="s">
        <v>575</v>
      </c>
    </row>
    <row r="11" spans="1:8" x14ac:dyDescent="0.25">
      <c r="A11">
        <v>1</v>
      </c>
      <c r="B11" t="str">
        <f>IFERROR(INDEX('Abstracts List'!$B:$B,MATCH($A11,'Abstracts List'!$A:$A,0)),"")</f>
        <v>Scenario Reduction Network Based on Wasserstein Distance With Regularization</v>
      </c>
      <c r="C11">
        <v>47</v>
      </c>
      <c r="D11" t="str">
        <f>INDEX('Question context'!$D$2:$D$49,MATCH($C11,'Question context'!$C$2:$C$49,0))</f>
        <v>How do system operators adequately account for the overall system impact of extreme events in planning studies, particularly those that impact the system with a high share of flexible resources in both supply and demand (wind, solar, demand-side flexibility)? </v>
      </c>
      <c r="E11">
        <f>CHOOSE(N(INDEX('Question context'!$E$2:$Y$49,MATCH($C11,'Question context'!$C$2:$C$49,0),MATCH($A11,'Question context'!$E$1:$Y$1,0)))+1,10,30,50,70,90,110)</f>
        <v>30</v>
      </c>
      <c r="F11" t="str">
        <f t="shared" si="0"/>
        <v>Low</v>
      </c>
      <c r="G11" t="s">
        <v>574</v>
      </c>
      <c r="H11" t="s">
        <v>575</v>
      </c>
    </row>
    <row r="12" spans="1:8" x14ac:dyDescent="0.25">
      <c r="A12">
        <v>1</v>
      </c>
      <c r="B12" t="str">
        <f>IFERROR(INDEX('Abstracts List'!$B:$B,MATCH($A12,'Abstracts List'!$A:$A,0)),"")</f>
        <v>Scenario Reduction Network Based on Wasserstein Distance With Regularization</v>
      </c>
      <c r="C12">
        <v>48</v>
      </c>
      <c r="D12" t="str">
        <f>INDEX('Question context'!$D$2:$D$49,MATCH($C12,'Question context'!$C$2:$C$49,0))</f>
        <v>What additional planning models and methods are needed to plan for a system that can withstand expected or unexpected lulls (e.g., an extended wind drought, or a dunkelflaute)?  </v>
      </c>
      <c r="E12">
        <f>CHOOSE(N(INDEX('Question context'!$E$2:$Y$49,MATCH($C12,'Question context'!$C$2:$C$49,0),MATCH($A12,'Question context'!$E$1:$Y$1,0)))+1,10,30,50,70,90,110)</f>
        <v>50</v>
      </c>
      <c r="F12" t="str">
        <f t="shared" si="0"/>
        <v>Moderate</v>
      </c>
      <c r="G12" t="s">
        <v>576</v>
      </c>
      <c r="H12" t="s">
        <v>575</v>
      </c>
    </row>
    <row r="13" spans="1:8" x14ac:dyDescent="0.25">
      <c r="A13">
        <v>103</v>
      </c>
      <c r="B13" t="str">
        <f>IFERROR(INDEX('Abstracts List'!$B:$B,MATCH($A13,'Abstracts List'!$A:$A,0)),"")</f>
        <v>Characteristic Investigation and Overvoltage Suppression of MMC-HVDC Integrated Offshore Wind Farms Under Onshore Valve-Side SPG Fault</v>
      </c>
      <c r="C13">
        <v>2</v>
      </c>
      <c r="D13" t="str">
        <f>INDEX('Question context'!$D$2:$D$49,MATCH($C13,'Question context'!$C$2:$C$49,0))</f>
        <v xml:space="preserve">How will protection systems need to change to accommodate high penetrations of IBRs, and what possible actions might an inverter take during a fault that would help fault detection and location? </v>
      </c>
      <c r="E13">
        <f>CHOOSE(N(INDEX('Question context'!$E$2:$Y$49,MATCH($C13,'Question context'!$C$2:$C$49,0),MATCH($A13,'Question context'!$E$1:$Y$1,0)))+1,10,30,50,70,90,110)</f>
        <v>70</v>
      </c>
      <c r="F13" t="str">
        <f t="shared" si="0"/>
        <v>High</v>
      </c>
      <c r="G13" t="s">
        <v>579</v>
      </c>
      <c r="H13" t="s">
        <v>575</v>
      </c>
    </row>
    <row r="14" spans="1:8" x14ac:dyDescent="0.25">
      <c r="A14">
        <v>103</v>
      </c>
      <c r="B14" t="str">
        <f>IFERROR(INDEX('Abstracts List'!$B:$B,MATCH($A14,'Abstracts List'!$A:$A,0)),"")</f>
        <v>Characteristic Investigation and Overvoltage Suppression of MMC-HVDC Integrated Offshore Wind Farms Under Onshore Valve-Side SPG Fault</v>
      </c>
      <c r="C14">
        <v>4</v>
      </c>
      <c r="D14" t="str">
        <f>INDEX('Question context'!$D$2:$D$49,MATCH($C14,'Question context'!$C$2:$C$49,0))</f>
        <v xml:space="preserve">What are the appropriate inverter capabilities and, consequently, control design methods for operation in grids with high percentages of IBRs, and are standard configurations and combinations of services helpful in simplifying operational decision-making? </v>
      </c>
      <c r="E14">
        <f>CHOOSE(N(INDEX('Question context'!$E$2:$Y$49,MATCH($C14,'Question context'!$C$2:$C$49,0),MATCH($A14,'Question context'!$E$1:$Y$1,0)))+1,10,30,50,70,90,110)</f>
        <v>50</v>
      </c>
      <c r="F14" t="str">
        <f t="shared" si="0"/>
        <v>Moderate</v>
      </c>
      <c r="G14" t="s">
        <v>579</v>
      </c>
      <c r="H14" t="s">
        <v>575</v>
      </c>
    </row>
    <row r="15" spans="1:8" x14ac:dyDescent="0.25">
      <c r="A15">
        <v>103</v>
      </c>
      <c r="B15" t="str">
        <f>IFERROR(INDEX('Abstracts List'!$B:$B,MATCH($A15,'Abstracts List'!$A:$A,0)),"")</f>
        <v>Characteristic Investigation and Overvoltage Suppression of MMC-HVDC Integrated Offshore Wind Farms Under Onshore Valve-Side SPG Fault</v>
      </c>
      <c r="C15">
        <v>7</v>
      </c>
      <c r="D15" t="str">
        <f>INDEX('Question context'!$D$2:$D$49,MATCH($C15,'Question context'!$C$2:$C$49,0))</f>
        <v>What approaches can be taken to track the dynamic response of IBR-dominated systems near real time and detect any emerging stability problems?</v>
      </c>
      <c r="E15">
        <f>CHOOSE(N(INDEX('Question context'!$E$2:$Y$49,MATCH($C15,'Question context'!$C$2:$C$49,0),MATCH($A15,'Question context'!$E$1:$Y$1,0)))+1,10,30,50,70,90,110)</f>
        <v>30</v>
      </c>
      <c r="F15" t="str">
        <f t="shared" si="0"/>
        <v>Low</v>
      </c>
      <c r="H15" t="s">
        <v>575</v>
      </c>
    </row>
    <row r="16" spans="1:8" x14ac:dyDescent="0.25">
      <c r="A16">
        <v>103</v>
      </c>
      <c r="B16" t="str">
        <f>IFERROR(INDEX('Abstracts List'!$B:$B,MATCH($A16,'Abstracts List'!$A:$A,0)),"")</f>
        <v>Characteristic Investigation and Overvoltage Suppression of MMC-HVDC Integrated Offshore Wind Farms Under Onshore Valve-Side SPG Fault</v>
      </c>
      <c r="C16">
        <v>9</v>
      </c>
      <c r="D16" t="str">
        <f>INDEX('Question context'!$D$2:$D$49,MATCH($C16,'Question context'!$C$2:$C$49,0))</f>
        <v xml:space="preserve">What analytical tools and models should be provided to planners and operators for robust assessment of system performance in IBR-dominated power grids? </v>
      </c>
      <c r="E16">
        <f>CHOOSE(N(INDEX('Question context'!$E$2:$Y$49,MATCH($C16,'Question context'!$C$2:$C$49,0),MATCH($A16,'Question context'!$E$1:$Y$1,0)))+1,10,30,50,70,90,110)</f>
        <v>50</v>
      </c>
      <c r="F16" t="str">
        <f t="shared" si="0"/>
        <v>Moderate</v>
      </c>
      <c r="H16" t="s">
        <v>575</v>
      </c>
    </row>
    <row r="17" spans="1:8" x14ac:dyDescent="0.25">
      <c r="A17">
        <v>103</v>
      </c>
      <c r="B17" t="str">
        <f>IFERROR(INDEX('Abstracts List'!$B:$B,MATCH($A17,'Abstracts List'!$A:$A,0)),"")</f>
        <v>Characteristic Investigation and Overvoltage Suppression of MMC-HVDC Integrated Offshore Wind Farms Under Onshore Valve-Side SPG Fault</v>
      </c>
      <c r="C17">
        <v>19</v>
      </c>
      <c r="D17" t="str">
        <f>INDEX('Question context'!$D$2:$D$49,MATCH($C17,'Question context'!$C$2:$C$49,0))</f>
        <v>How can the capabilities of grid-enhancing technologies (such as FACTS,SPS, RAS, DLR, PFC, WAMPAC) be integrated into the operational decision-making process?</v>
      </c>
      <c r="E17">
        <f>CHOOSE(N(INDEX('Question context'!$E$2:$Y$49,MATCH($C17,'Question context'!$C$2:$C$49,0),MATCH($A17,'Question context'!$E$1:$Y$1,0)))+1,10,30,50,70,90,110)</f>
        <v>30</v>
      </c>
      <c r="F17" t="str">
        <f t="shared" ref="F17:F24" si="1">IF(E17&gt;=70,"High",IF(E17&gt;=40,"Moderate","Low"))</f>
        <v>Low</v>
      </c>
      <c r="H17" t="s">
        <v>575</v>
      </c>
    </row>
    <row r="18" spans="1:8" x14ac:dyDescent="0.25">
      <c r="A18">
        <v>103</v>
      </c>
      <c r="B18" t="str">
        <f>IFERROR(INDEX('Abstracts List'!$B:$B,MATCH($A18,'Abstracts List'!$A:$A,0)),"")</f>
        <v>Characteristic Investigation and Overvoltage Suppression of MMC-HVDC Integrated Offshore Wind Farms Under Onshore Valve-Side SPG Fault</v>
      </c>
      <c r="C18">
        <v>25</v>
      </c>
      <c r="D18" t="str">
        <f>INDEX('Question context'!$D$2:$D$49,MATCH($C18,'Question context'!$C$2:$C$49,0))</f>
        <v>What metrics and their definitions (system strength, inertia, or others) need to be appropriately monitored or calculated to assess system dynamic behavior in real time, and what monitoring capabilities are necessary to support these assessments?</v>
      </c>
      <c r="E18">
        <f>CHOOSE(N(INDEX('Question context'!$E$2:$Y$49,MATCH($C18,'Question context'!$C$2:$C$49,0),MATCH($A18,'Question context'!$E$1:$Y$1,0)))+1,10,30,50,70,90,110)</f>
        <v>30</v>
      </c>
      <c r="F18" t="str">
        <f t="shared" si="1"/>
        <v>Low</v>
      </c>
      <c r="H18" t="s">
        <v>575</v>
      </c>
    </row>
    <row r="19" spans="1:8" x14ac:dyDescent="0.25">
      <c r="A19">
        <v>103</v>
      </c>
      <c r="B19" t="str">
        <f>IFERROR(INDEX('Abstracts List'!$B:$B,MATCH($A19,'Abstracts List'!$A:$A,0)),"")</f>
        <v>Characteristic Investigation and Overvoltage Suppression of MMC-HVDC Integrated Offshore Wind Farms Under Onshore Valve-Side SPG Fault</v>
      </c>
      <c r="C19">
        <v>34</v>
      </c>
      <c r="D19" t="str">
        <f>INDEX('Question context'!$D$2:$D$49,MATCH($C19,'Question context'!$C$2:$C$49,0))</f>
        <v>What methods could determine the need, sufficiency, and locational nature of IBR voltage control and system strength services for a given area? </v>
      </c>
      <c r="E19">
        <f>CHOOSE(N(INDEX('Question context'!$E$2:$Y$49,MATCH($C19,'Question context'!$C$2:$C$49,0),MATCH($A19,'Question context'!$E$1:$Y$1,0)))+1,10,30,50,70,90,110)</f>
        <v>30</v>
      </c>
      <c r="F19" t="str">
        <f t="shared" si="1"/>
        <v>Low</v>
      </c>
      <c r="H19" t="s">
        <v>575</v>
      </c>
    </row>
    <row r="20" spans="1:8" x14ac:dyDescent="0.25">
      <c r="A20">
        <v>103</v>
      </c>
      <c r="B20" t="str">
        <f>IFERROR(INDEX('Abstracts List'!$B:$B,MATCH($A20,'Abstracts List'!$A:$A,0)),"")</f>
        <v>Characteristic Investigation and Overvoltage Suppression of MMC-HVDC Integrated Offshore Wind Farms Under Onshore Valve-Side SPG Fault</v>
      </c>
      <c r="C20">
        <v>35</v>
      </c>
      <c r="D20" t="str">
        <f>INDEX('Question context'!$D$2:$D$49,MATCH($C20,'Question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20">
        <f>CHOOSE(N(INDEX('Question context'!$E$2:$Y$49,MATCH($C20,'Question context'!$C$2:$C$49,0),MATCH($A20,'Question context'!$E$1:$Y$1,0)))+1,10,30,50,70,90,110)</f>
        <v>30</v>
      </c>
      <c r="F20" t="str">
        <f t="shared" si="1"/>
        <v>Low</v>
      </c>
      <c r="H20" t="s">
        <v>575</v>
      </c>
    </row>
    <row r="21" spans="1:8" x14ac:dyDescent="0.25">
      <c r="A21">
        <v>115</v>
      </c>
      <c r="B21" t="str">
        <f>IFERROR(INDEX('Abstracts List'!$B:$B,MATCH($A21,'Abstracts List'!$A:$A,0)),"")</f>
        <v>Adaptive Stability Contingency Screening for Operational Planning Based on Domain-Adversarial Graph Neural Network</v>
      </c>
      <c r="C21">
        <v>7</v>
      </c>
      <c r="D21" t="str">
        <f>INDEX('Question context'!$D$2:$D$49,MATCH($C21,'Question context'!$C$2:$C$49,0))</f>
        <v>What approaches can be taken to track the dynamic response of IBR-dominated systems near real time and detect any emerging stability problems?</v>
      </c>
      <c r="E21">
        <f>CHOOSE(N(INDEX('Question context'!$E$2:$Y$49,MATCH($C21,'Question context'!$C$2:$C$49,0),MATCH($A21,'Question context'!$E$1:$Y$1,0)))+1,10,30,50,70,90,110)</f>
        <v>50</v>
      </c>
      <c r="F21" t="str">
        <f t="shared" si="1"/>
        <v>Moderate</v>
      </c>
      <c r="H21" t="s">
        <v>575</v>
      </c>
    </row>
    <row r="22" spans="1:8" x14ac:dyDescent="0.25">
      <c r="A22">
        <v>115</v>
      </c>
      <c r="B22" t="str">
        <f>IFERROR(INDEX('Abstracts List'!$B:$B,MATCH($A22,'Abstracts List'!$A:$A,0)),"")</f>
        <v>Adaptive Stability Contingency Screening for Operational Planning Based on Domain-Adversarial Graph Neural Network</v>
      </c>
      <c r="C22">
        <v>9</v>
      </c>
      <c r="D22" t="str">
        <f>INDEX('Question context'!$D$2:$D$49,MATCH($C22,'Question context'!$C$2:$C$49,0))</f>
        <v xml:space="preserve">What analytical tools and models should be provided to planners and operators for robust assessment of system performance in IBR-dominated power grids? </v>
      </c>
      <c r="E22">
        <f>CHOOSE(N(INDEX('Question context'!$E$2:$Y$49,MATCH($C22,'Question context'!$C$2:$C$49,0),MATCH($A22,'Question context'!$E$1:$Y$1,0)))+1,10,30,50,70,90,110)</f>
        <v>50</v>
      </c>
      <c r="F22" t="str">
        <f t="shared" si="1"/>
        <v>Moderate</v>
      </c>
      <c r="H22" t="s">
        <v>575</v>
      </c>
    </row>
    <row r="23" spans="1:8" x14ac:dyDescent="0.25">
      <c r="A23">
        <v>115</v>
      </c>
      <c r="B23" t="str">
        <f>IFERROR(INDEX('Abstracts List'!$B:$B,MATCH($A23,'Abstracts List'!$A:$A,0)),"")</f>
        <v>Adaptive Stability Contingency Screening for Operational Planning Based on Domain-Adversarial Graph Neural Network</v>
      </c>
      <c r="C23">
        <v>20</v>
      </c>
      <c r="D23" t="str">
        <f>INDEX('Question context'!$D$2:$D$49,MATCH($C23,'Question context'!$C$2:$C$49,0))</f>
        <v>How can grid topology be flexibly adapted to be reliably integrated into the operational decision-making process with outage scheduling, transfer limit increase, and post contingency remedial actions?</v>
      </c>
      <c r="E23">
        <f>CHOOSE(N(INDEX('Question context'!$E$2:$Y$49,MATCH($C23,'Question context'!$C$2:$C$49,0),MATCH($A23,'Question context'!$E$1:$Y$1,0)))+1,10,30,50,70,90,110)</f>
        <v>70</v>
      </c>
      <c r="F23" t="str">
        <f t="shared" si="1"/>
        <v>High</v>
      </c>
      <c r="H23" t="s">
        <v>575</v>
      </c>
    </row>
    <row r="24" spans="1:8" x14ac:dyDescent="0.25">
      <c r="A24">
        <v>115</v>
      </c>
      <c r="B24" t="str">
        <f>IFERROR(INDEX('Abstracts List'!$B:$B,MATCH($A24,'Abstracts List'!$A:$A,0)),"")</f>
        <v>Adaptive Stability Contingency Screening for Operational Planning Based on Domain-Adversarial Graph Neural Network</v>
      </c>
      <c r="C24">
        <v>24</v>
      </c>
      <c r="D24" t="str">
        <f>INDEX('Question context'!$D$2:$D$49,MATCH($C24,'Question context'!$C$2:$C$49,0))</f>
        <v>How can the risk of high-impact low-probability events (weather-related and otherwise) be incorporated into security assessments in real time and operations planning?</v>
      </c>
      <c r="E24">
        <f>CHOOSE(N(INDEX('Question context'!$E$2:$Y$49,MATCH($C24,'Question context'!$C$2:$C$49,0),MATCH($A24,'Question context'!$E$1:$Y$1,0)))+1,10,30,50,70,90,110)</f>
        <v>30</v>
      </c>
      <c r="F24" t="str">
        <f t="shared" si="1"/>
        <v>Low</v>
      </c>
      <c r="H24" t="s">
        <v>575</v>
      </c>
    </row>
    <row r="25" spans="1:8" x14ac:dyDescent="0.25">
      <c r="A25">
        <v>115</v>
      </c>
      <c r="B25" t="str">
        <f>IFERROR(INDEX('Abstracts List'!$B:$B,MATCH($A25,'Abstracts List'!$A:$A,0)),"")</f>
        <v>Adaptive Stability Contingency Screening for Operational Planning Based on Domain-Adversarial Graph Neural Network</v>
      </c>
      <c r="C25">
        <v>47</v>
      </c>
      <c r="D25" t="str">
        <f>INDEX('Question context'!$D$2:$D$49,MATCH($C25,'Question context'!$C$2:$C$49,0))</f>
        <v>How do system operators adequately account for the overall system impact of extreme events in planning studies, particularly those that impact the system with a high share of flexible resources in both supply and demand (wind, solar, demand-side flexibility)? </v>
      </c>
      <c r="E25">
        <f>CHOOSE(N(INDEX('Question context'!$E$2:$Y$49,MATCH($C25,'Question context'!$C$2:$C$49,0),MATCH($A25,'Question context'!$E$1:$Y$1,0)))+1,10,30,50,70,90,110)</f>
        <v>30</v>
      </c>
      <c r="F25" t="str">
        <f t="shared" ref="F25:F33" si="2">IF(E25&gt;=70,"High",IF(E25&gt;=40,"Moderate","Low"))</f>
        <v>Low</v>
      </c>
      <c r="H25" t="s">
        <v>575</v>
      </c>
    </row>
    <row r="26" spans="1:8" x14ac:dyDescent="0.25">
      <c r="A26">
        <v>115</v>
      </c>
      <c r="B26" t="str">
        <f>IFERROR(INDEX('Abstracts List'!$B:$B,MATCH($A26,'Abstracts List'!$A:$A,0)),"")</f>
        <v>Adaptive Stability Contingency Screening for Operational Planning Based on Domain-Adversarial Graph Neural Network</v>
      </c>
      <c r="C26">
        <v>48</v>
      </c>
      <c r="D26" t="str">
        <f>INDEX('Question context'!$D$2:$D$49,MATCH($C26,'Question context'!$C$2:$C$49,0))</f>
        <v>What additional planning models and methods are needed to plan for a system that can withstand expected or unexpected lulls (e.g., an extended wind drought, or a dunkelflaute)?  </v>
      </c>
      <c r="E26">
        <f>CHOOSE(N(INDEX('Question context'!$E$2:$Y$49,MATCH($C26,'Question context'!$C$2:$C$49,0),MATCH($A26,'Question context'!$E$1:$Y$1,0)))+1,10,30,50,70,90,110)</f>
        <v>30</v>
      </c>
      <c r="F26" t="str">
        <f t="shared" si="2"/>
        <v>Low</v>
      </c>
      <c r="H26" t="s">
        <v>575</v>
      </c>
    </row>
    <row r="27" spans="1:8" x14ac:dyDescent="0.25">
      <c r="A27">
        <v>81</v>
      </c>
      <c r="B27" t="str">
        <f>IFERROR(INDEX('Abstracts List'!$B:$B,MATCH($A27,'Abstracts List'!$A:$A,0)),"")</f>
        <v>Virtual Prosumers P2P Transaction Based Distribution Network Expansion Planning</v>
      </c>
      <c r="C27">
        <v>12</v>
      </c>
      <c r="D27" t="str">
        <f>INDEX('Question context'!$D$2:$D$49,MATCH($C27,'Question context'!$C$2:$C$49,0))</f>
        <v>What mechanisms and appropriate aggregate DER representations and data are necessary to account for DERs in system-wide operation and planning, and in techno economic evaluation?</v>
      </c>
      <c r="E27">
        <f>CHOOSE(N(INDEX('Question context'!$E$2:$Y$49,MATCH($C27,'Question context'!$C$2:$C$49,0),MATCH($A27,'Question context'!$E$1:$Y$1,0)))+1,10,30,50,70,90,110)</f>
        <v>70</v>
      </c>
      <c r="F27" t="str">
        <f t="shared" si="2"/>
        <v>High</v>
      </c>
      <c r="H27" t="s">
        <v>575</v>
      </c>
    </row>
    <row r="28" spans="1:8" x14ac:dyDescent="0.25">
      <c r="A28">
        <v>81</v>
      </c>
      <c r="B28" t="str">
        <f>IFERROR(INDEX('Abstracts List'!$B:$B,MATCH($A28,'Abstracts List'!$A:$A,0)),"")</f>
        <v>Virtual Prosumers P2P Transaction Based Distribution Network Expansion Planning</v>
      </c>
      <c r="C28">
        <v>13</v>
      </c>
      <c r="D28" t="str">
        <f>INDEX('Question context'!$D$2:$D$49,MATCH($C28,'Question context'!$C$2:$C$49,0))</f>
        <v>How can system operators quantify the bulk-level energy and service opportunities from DER, and how can these services be shared among distribution operators, bulk operators, aggregators and (where applicable) customers?</v>
      </c>
      <c r="E28">
        <f>CHOOSE(N(INDEX('Question context'!$E$2:$Y$49,MATCH($C28,'Question context'!$C$2:$C$49,0),MATCH($A28,'Question context'!$E$1:$Y$1,0)))+1,10,30,50,70,90,110)</f>
        <v>30</v>
      </c>
      <c r="F28" t="str">
        <f t="shared" si="2"/>
        <v>Low</v>
      </c>
      <c r="H28" t="s">
        <v>575</v>
      </c>
    </row>
    <row r="29" spans="1:8" x14ac:dyDescent="0.25">
      <c r="A29">
        <v>81</v>
      </c>
      <c r="B29" t="str">
        <f>IFERROR(INDEX('Abstracts List'!$B:$B,MATCH($A29,'Abstracts List'!$A:$A,0)),"")</f>
        <v>Virtual Prosumers P2P Transaction Based Distribution Network Expansion Planning</v>
      </c>
      <c r="C29">
        <v>14</v>
      </c>
      <c r="D29" t="str">
        <f>INDEX('Question context'!$D$2:$D$49,MATCH($C29,'Question context'!$C$2:$C$49,0))</f>
        <v>How can bulk-level services provided by DER be valued as a compromise between simplicity and, for example, a complex full cost-reflective approach?</v>
      </c>
      <c r="E29">
        <f>CHOOSE(N(INDEX('Question context'!$E$2:$Y$49,MATCH($C29,'Question context'!$C$2:$C$49,0),MATCH($A29,'Question context'!$E$1:$Y$1,0)))+1,10,30,50,70,90,110)</f>
        <v>50</v>
      </c>
      <c r="F29" t="str">
        <f t="shared" si="2"/>
        <v>Moderate</v>
      </c>
      <c r="H29" t="s">
        <v>575</v>
      </c>
    </row>
    <row r="30" spans="1:8" x14ac:dyDescent="0.25">
      <c r="A30">
        <v>81</v>
      </c>
      <c r="B30" t="str">
        <f>IFERROR(INDEX('Abstracts List'!$B:$B,MATCH($A30,'Abstracts List'!$A:$A,0)),"")</f>
        <v>Virtual Prosumers P2P Transaction Based Distribution Network Expansion Planning</v>
      </c>
      <c r="C30">
        <v>39</v>
      </c>
      <c r="D30" t="str">
        <f>INDEX('Question context'!$D$2:$D$49,MATCH($C30,'Question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30">
        <f>CHOOSE(N(INDEX('Question context'!$E$2:$Y$49,MATCH($C30,'Question context'!$C$2:$C$49,0),MATCH($A30,'Question context'!$E$1:$Y$1,0)))+1,10,30,50,70,90,110)</f>
        <v>30</v>
      </c>
      <c r="F30" t="str">
        <f t="shared" si="2"/>
        <v>Low</v>
      </c>
      <c r="H30" t="s">
        <v>575</v>
      </c>
    </row>
    <row r="31" spans="1:8" x14ac:dyDescent="0.25">
      <c r="A31">
        <v>81</v>
      </c>
      <c r="B31" t="str">
        <f>IFERROR(INDEX('Abstracts List'!$B:$B,MATCH($A31,'Abstracts List'!$A:$A,0)),"")</f>
        <v>Virtual Prosumers P2P Transaction Based Distribution Network Expansion Planning</v>
      </c>
      <c r="C31">
        <v>40</v>
      </c>
      <c r="D31" t="str">
        <f>INDEX('Question context'!$D$2:$D$49,MATCH($C31,'Question context'!$C$2:$C$49,0))</f>
        <v>What studies and metrics are required to evaluate resource adequacy with hybrid plants (e.g., photovoltaics-plus-storage) and virtual power plants? </v>
      </c>
      <c r="E31">
        <f>CHOOSE(N(INDEX('Question context'!$E$2:$Y$49,MATCH($C31,'Question context'!$C$2:$C$49,0),MATCH($A31,'Question context'!$E$1:$Y$1,0)))+1,10,30,50,70,90,110)</f>
        <v>50</v>
      </c>
      <c r="F31" t="str">
        <f t="shared" si="2"/>
        <v>Moderate</v>
      </c>
      <c r="H31" t="s">
        <v>575</v>
      </c>
    </row>
    <row r="32" spans="1:8" x14ac:dyDescent="0.25">
      <c r="A32">
        <v>81</v>
      </c>
      <c r="B32" t="str">
        <f>IFERROR(INDEX('Abstracts List'!$B:$B,MATCH($A32,'Abstracts List'!$A:$A,0)),"")</f>
        <v>Virtual Prosumers P2P Transaction Based Distribution Network Expansion Planning</v>
      </c>
      <c r="C32">
        <v>42</v>
      </c>
      <c r="D32" t="str">
        <f>INDEX('Question context'!$D$2:$D$49,MATCH($C32,'Question context'!$C$2:$C$49,0))</f>
        <v>What additional planning models and methods are needed to plan for various levels of uncertainty and no-regrets investments in a paradigm of increasing electrification and growing IBR and DER penetrations? </v>
      </c>
      <c r="E32">
        <f>CHOOSE(N(INDEX('Question context'!$E$2:$Y$49,MATCH($C32,'Question context'!$C$2:$C$49,0),MATCH($A32,'Question context'!$E$1:$Y$1,0)))+1,10,30,50,70,90,110)</f>
        <v>50</v>
      </c>
      <c r="F32" t="str">
        <f t="shared" si="2"/>
        <v>Moderate</v>
      </c>
      <c r="H32" t="s">
        <v>575</v>
      </c>
    </row>
    <row r="33" spans="1:8" x14ac:dyDescent="0.25">
      <c r="A33">
        <v>81</v>
      </c>
      <c r="B33" t="str">
        <f>IFERROR(INDEX('Abstracts List'!$B:$B,MATCH($A33,'Abstracts List'!$A:$A,0)),"")</f>
        <v>Virtual Prosumers P2P Transaction Based Distribution Network Expansion Planning</v>
      </c>
      <c r="C33">
        <v>45</v>
      </c>
      <c r="D33" t="str">
        <f>INDEX('Question context'!$D$2:$D$49,MATCH($C33,'Question context'!$C$2:$C$49,0))</f>
        <v>What additional load and resource forecasting models are necessary to account for electrification, including large loads (e.g., data centers), coupling of the transportation and building sectors, and demand-side flexibility? </v>
      </c>
      <c r="E33">
        <f>CHOOSE(N(INDEX('Question context'!$E$2:$Y$49,MATCH($C33,'Question context'!$C$2:$C$49,0),MATCH($A33,'Question context'!$E$1:$Y$1,0)))+1,10,30,50,70,90,110)</f>
        <v>50</v>
      </c>
      <c r="F33" t="str">
        <f t="shared" si="2"/>
        <v>Moderate</v>
      </c>
      <c r="H33" t="s">
        <v>575</v>
      </c>
    </row>
    <row r="34" spans="1:8" x14ac:dyDescent="0.25">
      <c r="A34">
        <v>134</v>
      </c>
      <c r="B34" t="str">
        <f>IFERROR(INDEX('Abstracts List'!$B:$B,MATCH($A34,'Abstracts List'!$A:$A,0)),"")</f>
        <v>High-Dimensional Feature Selection for Power System Congestion Event Prognosis With Enhanced Evolutionary Computation</v>
      </c>
      <c r="C34">
        <v>20</v>
      </c>
      <c r="D34" t="str">
        <f>INDEX('Question context'!$D$2:$D$49,MATCH($C34,'Question context'!$C$2:$C$49,0))</f>
        <v>How can grid topology be flexibly adapted to be reliably integrated into the operational decision-making process with outage scheduling, transfer limit increase, and post contingency remedial actions?</v>
      </c>
      <c r="E34">
        <f>CHOOSE(N(INDEX('Question context'!$E$2:$Y$49,MATCH($C34,'Question context'!$C$2:$C$49,0),MATCH($A34,'Question context'!$E$1:$Y$1,0)))+1,10,30,50,70,90,110)</f>
        <v>50</v>
      </c>
      <c r="F34" t="str">
        <f t="shared" ref="F34:F43" si="3">IF(E34&gt;=70,"High",IF(E34&gt;=40,"Moderate","Low"))</f>
        <v>Moderate</v>
      </c>
      <c r="H34" t="s">
        <v>575</v>
      </c>
    </row>
    <row r="35" spans="1:8" x14ac:dyDescent="0.25">
      <c r="A35">
        <v>134</v>
      </c>
      <c r="B35" t="str">
        <f>IFERROR(INDEX('Abstracts List'!$B:$B,MATCH($A35,'Abstracts List'!$A:$A,0)),"")</f>
        <v>High-Dimensional Feature Selection for Power System Congestion Event Prognosis With Enhanced Evolutionary Computation</v>
      </c>
      <c r="C35">
        <v>21</v>
      </c>
      <c r="D35" t="str">
        <f>INDEX('Question context'!$D$2:$D$49,MATCH($C35,'Question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35">
        <f>CHOOSE(N(INDEX('Question context'!$E$2:$Y$49,MATCH($C35,'Question context'!$C$2:$C$49,0),MATCH($A35,'Question context'!$E$1:$Y$1,0)))+1,10,30,50,70,90,110)</f>
        <v>50</v>
      </c>
      <c r="F35" t="str">
        <f t="shared" si="3"/>
        <v>Moderate</v>
      </c>
      <c r="H35" t="s">
        <v>575</v>
      </c>
    </row>
    <row r="36" spans="1:8" x14ac:dyDescent="0.25">
      <c r="A36">
        <v>134</v>
      </c>
      <c r="B36" t="str">
        <f>IFERROR(INDEX('Abstracts List'!$B:$B,MATCH($A36,'Abstracts List'!$A:$A,0)),"")</f>
        <v>High-Dimensional Feature Selection for Power System Congestion Event Prognosis With Enhanced Evolutionary Computation</v>
      </c>
      <c r="C36">
        <v>23</v>
      </c>
      <c r="D36" t="str">
        <f>INDEX('Question context'!$D$2:$D$49,MATCH($C36,'Question context'!$C$2:$C$49,0))</f>
        <v>What is the best way to integrate large datasets, streaming information, and historical system performance to create actionable operational insights in an increasingly complex environment with multiple phenomena occurring within overlapping timescales?</v>
      </c>
      <c r="E36">
        <f>CHOOSE(N(INDEX('Question context'!$E$2:$Y$49,MATCH($C36,'Question context'!$C$2:$C$49,0),MATCH($A36,'Question context'!$E$1:$Y$1,0)))+1,10,30,50,70,90,110)</f>
        <v>50</v>
      </c>
      <c r="F36" t="str">
        <f t="shared" si="3"/>
        <v>Moderate</v>
      </c>
      <c r="H36" t="s">
        <v>575</v>
      </c>
    </row>
    <row r="37" spans="1:8" x14ac:dyDescent="0.25">
      <c r="A37">
        <v>134</v>
      </c>
      <c r="B37" t="str">
        <f>IFERROR(INDEX('Abstracts List'!$B:$B,MATCH($A37,'Abstracts List'!$A:$A,0)),"")</f>
        <v>High-Dimensional Feature Selection for Power System Congestion Event Prognosis With Enhanced Evolutionary Computation</v>
      </c>
      <c r="C37">
        <v>24</v>
      </c>
      <c r="D37" t="str">
        <f>INDEX('Question context'!$D$2:$D$49,MATCH($C37,'Question context'!$C$2:$C$49,0))</f>
        <v>How can the risk of high-impact low-probability events (weather-related and otherwise) be incorporated into security assessments in real time and operations planning?</v>
      </c>
      <c r="E37">
        <f>CHOOSE(N(INDEX('Question context'!$E$2:$Y$49,MATCH($C37,'Question context'!$C$2:$C$49,0),MATCH($A37,'Question context'!$E$1:$Y$1,0)))+1,10,30,50,70,90,110)</f>
        <v>30</v>
      </c>
      <c r="F37" t="str">
        <f t="shared" si="3"/>
        <v>Low</v>
      </c>
      <c r="H37" t="s">
        <v>575</v>
      </c>
    </row>
    <row r="38" spans="1:8" x14ac:dyDescent="0.25">
      <c r="A38">
        <v>134</v>
      </c>
      <c r="B38" t="str">
        <f>IFERROR(INDEX('Abstracts List'!$B:$B,MATCH($A38,'Abstracts List'!$A:$A,0)),"")</f>
        <v>High-Dimensional Feature Selection for Power System Congestion Event Prognosis With Enhanced Evolutionary Computation</v>
      </c>
      <c r="C38">
        <v>26</v>
      </c>
      <c r="D38" t="str">
        <f>INDEX('Question context'!$D$2:$D$49,MATCH($C38,'Question context'!$C$2:$C$49,0))</f>
        <v>What improvements can be made to predictive tools and visualization methodologies in operational applications within the control room to support decision-making in real-time operations?</v>
      </c>
      <c r="E38">
        <f>CHOOSE(N(INDEX('Question context'!$E$2:$Y$49,MATCH($C38,'Question context'!$C$2:$C$49,0),MATCH($A38,'Question context'!$E$1:$Y$1,0)))+1,10,30,50,70,90,110)</f>
        <v>50</v>
      </c>
      <c r="F38" t="str">
        <f t="shared" si="3"/>
        <v>Moderate</v>
      </c>
      <c r="H38" t="s">
        <v>575</v>
      </c>
    </row>
    <row r="39" spans="1:8" x14ac:dyDescent="0.25">
      <c r="A39">
        <v>134</v>
      </c>
      <c r="B39" t="str">
        <f>IFERROR(INDEX('Abstracts List'!$B:$B,MATCH($A39,'Abstracts List'!$A:$A,0)),"")</f>
        <v>High-Dimensional Feature Selection for Power System Congestion Event Prognosis With Enhanced Evolutionary Computation</v>
      </c>
      <c r="C39">
        <v>27</v>
      </c>
      <c r="D39" t="str">
        <f>INDEX('Question context'!$D$2:$D$49,MATCH($C39,'Question context'!$C$2:$C$49,0))</f>
        <v>How can risk-based methods (e.g. probabilistic forecasting techniques) be better incorporated into operational decision-support tools and used consistently across multiple stages (e.g., real-time, day ahead, intraday planning)?</v>
      </c>
      <c r="E39">
        <f>CHOOSE(N(INDEX('Question context'!$E$2:$Y$49,MATCH($C39,'Question context'!$C$2:$C$49,0),MATCH($A39,'Question context'!$E$1:$Y$1,0)))+1,10,30,50,70,90,110)</f>
        <v>50</v>
      </c>
      <c r="F39" t="str">
        <f t="shared" si="3"/>
        <v>Moderate</v>
      </c>
      <c r="H39" t="s">
        <v>575</v>
      </c>
    </row>
    <row r="40" spans="1:8" x14ac:dyDescent="0.25">
      <c r="A40">
        <v>134</v>
      </c>
      <c r="B40" t="str">
        <f>IFERROR(INDEX('Abstracts List'!$B:$B,MATCH($A40,'Abstracts List'!$A:$A,0)),"")</f>
        <v>High-Dimensional Feature Selection for Power System Congestion Event Prognosis With Enhanced Evolutionary Computation</v>
      </c>
      <c r="C40">
        <v>42</v>
      </c>
      <c r="D40" t="str">
        <f>INDEX('Question context'!$D$2:$D$49,MATCH($C40,'Question context'!$C$2:$C$49,0))</f>
        <v>What additional planning models and methods are needed to plan for various levels of uncertainty and no-regrets investments in a paradigm of increasing electrification and growing IBR and DER penetrations? </v>
      </c>
      <c r="E40">
        <f>CHOOSE(N(INDEX('Question context'!$E$2:$Y$49,MATCH($C40,'Question context'!$C$2:$C$49,0),MATCH($A40,'Question context'!$E$1:$Y$1,0)))+1,10,30,50,70,90,110)</f>
        <v>30</v>
      </c>
      <c r="F40" t="str">
        <f t="shared" si="3"/>
        <v>Low</v>
      </c>
      <c r="H40" t="s">
        <v>575</v>
      </c>
    </row>
    <row r="41" spans="1:8" x14ac:dyDescent="0.25">
      <c r="A41">
        <v>71</v>
      </c>
      <c r="B41" t="str">
        <f>IFERROR(INDEX('Abstracts List'!$B:$B,MATCH($A41,'Abstracts List'!$A:$A,0)),"")</f>
        <v>Electromechanical Transient Modeling of the Low-Frequency AC System With Modular Multilevel Matrix Converter Stations</v>
      </c>
      <c r="C41">
        <v>7</v>
      </c>
      <c r="D41" t="str">
        <f>INDEX('Question context'!$D$2:$D$49,MATCH($C41,'Question context'!$C$2:$C$49,0))</f>
        <v>What approaches can be taken to track the dynamic response of IBR-dominated systems near real time and detect any emerging stability problems?</v>
      </c>
      <c r="E41">
        <f>CHOOSE(N(INDEX('Question context'!$E$2:$Y$49,MATCH($C41,'Question context'!$C$2:$C$49,0),MATCH($A41,'Question context'!$E$1:$Y$1,0)))+1,10,30,50,70,90,110)</f>
        <v>30</v>
      </c>
      <c r="F41" t="str">
        <f t="shared" si="3"/>
        <v>Low</v>
      </c>
      <c r="H41" t="s">
        <v>575</v>
      </c>
    </row>
    <row r="42" spans="1:8" x14ac:dyDescent="0.25">
      <c r="A42">
        <v>71</v>
      </c>
      <c r="B42" t="str">
        <f>IFERROR(INDEX('Abstracts List'!$B:$B,MATCH($A42,'Abstracts List'!$A:$A,0)),"")</f>
        <v>Electromechanical Transient Modeling of the Low-Frequency AC System With Modular Multilevel Matrix Converter Stations</v>
      </c>
      <c r="C42">
        <v>9</v>
      </c>
      <c r="D42" t="str">
        <f>INDEX('Question context'!$D$2:$D$49,MATCH($C42,'Question context'!$C$2:$C$49,0))</f>
        <v xml:space="preserve">What analytical tools and models should be provided to planners and operators for robust assessment of system performance in IBR-dominated power grids? </v>
      </c>
      <c r="E42">
        <f>CHOOSE(N(INDEX('Question context'!$E$2:$Y$49,MATCH($C42,'Question context'!$C$2:$C$49,0),MATCH($A42,'Question context'!$E$1:$Y$1,0)))+1,10,30,50,70,90,110)</f>
        <v>70</v>
      </c>
      <c r="F42" t="str">
        <f t="shared" si="3"/>
        <v>High</v>
      </c>
      <c r="H42" t="s">
        <v>575</v>
      </c>
    </row>
    <row r="43" spans="1:8" x14ac:dyDescent="0.25">
      <c r="A43">
        <v>71</v>
      </c>
      <c r="B43" t="str">
        <f>IFERROR(INDEX('Abstracts List'!$B:$B,MATCH($A43,'Abstracts List'!$A:$A,0)),"")</f>
        <v>Electromechanical Transient Modeling of the Low-Frequency AC System With Modular Multilevel Matrix Converter Stations</v>
      </c>
      <c r="C43">
        <v>11</v>
      </c>
      <c r="D43" t="str">
        <f>INDEX('Question context'!$D$2:$D$49,MATCH($C43,'Question context'!$C$2:$C$49,0))</f>
        <v>In what form and fidelity should the original equipment manufacturers/developers and system operators exchange the IBR and grid models for comprehensive stability assurance of IBR-dominated grids?</v>
      </c>
      <c r="E43">
        <f>CHOOSE(N(INDEX('Question context'!$E$2:$Y$49,MATCH($C43,'Question context'!$C$2:$C$49,0),MATCH($A43,'Question context'!$E$1:$Y$1,0)))+1,10,30,50,70,90,110)</f>
        <v>30</v>
      </c>
      <c r="F43" t="str">
        <f t="shared" si="3"/>
        <v>Low</v>
      </c>
      <c r="H43" t="s">
        <v>575</v>
      </c>
    </row>
    <row r="44" spans="1:8" x14ac:dyDescent="0.25">
      <c r="A44">
        <v>71</v>
      </c>
      <c r="B44" t="str">
        <f>IFERROR(INDEX('Abstracts List'!$B:$B,MATCH($A44,'Abstracts List'!$A:$A,0)),"")</f>
        <v>Electromechanical Transient Modeling of the Low-Frequency AC System With Modular Multilevel Matrix Converter Stations</v>
      </c>
      <c r="C44">
        <v>38</v>
      </c>
      <c r="D44" t="str">
        <f>INDEX('Question context'!$D$2:$D$49,MATCH($C44,'Question context'!$C$2:$C$49,0))</f>
        <v>How should grid enhancing technologies be included in the planning processes? </v>
      </c>
      <c r="E44">
        <f>CHOOSE(N(INDEX('Question context'!$E$2:$Y$49,MATCH($C44,'Question context'!$C$2:$C$49,0),MATCH($A44,'Question context'!$E$1:$Y$1,0)))+1,10,30,50,70,90,110)</f>
        <v>30</v>
      </c>
      <c r="F44" t="str">
        <f t="shared" ref="F44:F48" si="4">IF(E44&gt;=70,"High",IF(E44&gt;=40,"Moderate","Low"))</f>
        <v>Low</v>
      </c>
      <c r="H44" t="s">
        <v>575</v>
      </c>
    </row>
    <row r="45" spans="1:8" x14ac:dyDescent="0.25">
      <c r="A45">
        <v>71</v>
      </c>
      <c r="B45" t="str">
        <f>IFERROR(INDEX('Abstracts List'!$B:$B,MATCH($A45,'Abstracts List'!$A:$A,0)),"")</f>
        <v>Electromechanical Transient Modeling of the Low-Frequency AC System With Modular Multilevel Matrix Converter Stations</v>
      </c>
      <c r="C45">
        <v>39</v>
      </c>
      <c r="D45" t="str">
        <f>INDEX('Question context'!$D$2:$D$49,MATCH($C45,'Question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45">
        <f>CHOOSE(N(INDEX('Question context'!$E$2:$Y$49,MATCH($C45,'Question context'!$C$2:$C$49,0),MATCH($A45,'Question context'!$E$1:$Y$1,0)))+1,10,30,50,70,90,110)</f>
        <v>30</v>
      </c>
      <c r="F45" t="str">
        <f t="shared" si="4"/>
        <v>Low</v>
      </c>
      <c r="H45" t="s">
        <v>575</v>
      </c>
    </row>
    <row r="46" spans="1:8" x14ac:dyDescent="0.25">
      <c r="A46">
        <v>71</v>
      </c>
      <c r="B46" t="str">
        <f>IFERROR(INDEX('Abstracts List'!$B:$B,MATCH($A46,'Abstracts List'!$A:$A,0)),"")</f>
        <v>Electromechanical Transient Modeling of the Low-Frequency AC System With Modular Multilevel Matrix Converter Stations</v>
      </c>
      <c r="C46">
        <v>41</v>
      </c>
      <c r="D46" t="str">
        <f>INDEX('Question context'!$D$2:$D$49,MATCH($C46,'Question context'!$C$2:$C$49,0))</f>
        <v>What additional probabilistic planning methods and tools are necessary for planning a power system with a high share of IBRs and in particular, variable renewable energy resources? </v>
      </c>
      <c r="E46">
        <f>CHOOSE(N(INDEX('Question context'!$E$2:$Y$49,MATCH($C46,'Question context'!$C$2:$C$49,0),MATCH($A46,'Question context'!$E$1:$Y$1,0)))+1,10,30,50,70,90,110)</f>
        <v>30</v>
      </c>
      <c r="F46" t="str">
        <f t="shared" si="4"/>
        <v>Low</v>
      </c>
      <c r="H46" t="s">
        <v>575</v>
      </c>
    </row>
    <row r="47" spans="1:8" x14ac:dyDescent="0.25">
      <c r="A47">
        <v>146</v>
      </c>
      <c r="B47" t="str">
        <f>IFERROR(INDEX('Abstracts List'!$B:$B,MATCH($A47,'Abstracts List'!$A:$A,0)),"")</f>
        <v>Automatic Generation of Topology Diagrams for Strongly-Meshed Power Transmission Systems</v>
      </c>
      <c r="C47">
        <v>20</v>
      </c>
      <c r="D47" t="str">
        <f>INDEX('Question context'!$D$2:$D$49,MATCH($C47,'Question context'!$C$2:$C$49,0))</f>
        <v>How can grid topology be flexibly adapted to be reliably integrated into the operational decision-making process with outage scheduling, transfer limit increase, and post contingency remedial actions?</v>
      </c>
      <c r="E47">
        <f>CHOOSE(N(INDEX('Question context'!$E$2:$Y$49,MATCH($C47,'Question context'!$C$2:$C$49,0),MATCH($A47,'Question context'!$E$1:$Y$1,0)))+1,10,30,50,70,90,110)</f>
        <v>50</v>
      </c>
      <c r="F47" t="str">
        <f t="shared" si="4"/>
        <v>Moderate</v>
      </c>
      <c r="H47" t="s">
        <v>575</v>
      </c>
    </row>
    <row r="48" spans="1:8" x14ac:dyDescent="0.25">
      <c r="A48">
        <v>146</v>
      </c>
      <c r="B48" t="str">
        <f>IFERROR(INDEX('Abstracts List'!$B:$B,MATCH($A48,'Abstracts List'!$A:$A,0)),"")</f>
        <v>Automatic Generation of Topology Diagrams for Strongly-Meshed Power Transmission Systems</v>
      </c>
      <c r="C48">
        <v>26</v>
      </c>
      <c r="D48" t="str">
        <f>INDEX('Question context'!$D$2:$D$49,MATCH($C48,'Question context'!$C$2:$C$49,0))</f>
        <v>What improvements can be made to predictive tools and visualization methodologies in operational applications within the control room to support decision-making in real-time operations?</v>
      </c>
      <c r="E48">
        <f>CHOOSE(N(INDEX('Question context'!$E$2:$Y$49,MATCH($C48,'Question context'!$C$2:$C$49,0),MATCH($A48,'Question context'!$E$1:$Y$1,0)))+1,10,30,50,70,90,110)</f>
        <v>90</v>
      </c>
      <c r="F48" t="str">
        <f t="shared" si="4"/>
        <v>High</v>
      </c>
      <c r="H48" t="s">
        <v>575</v>
      </c>
    </row>
    <row r="49" spans="1:8" x14ac:dyDescent="0.25">
      <c r="A49">
        <v>65</v>
      </c>
      <c r="B49" t="str">
        <f>IFERROR(INDEX('Abstracts List'!$B:$B,MATCH($A49,'Abstracts List'!$A:$A,0)),"")</f>
        <v>Cooperative Hierarchical Control of Isolated Microgrids Considering Energy Storage System Aggregation</v>
      </c>
      <c r="C49">
        <v>12</v>
      </c>
      <c r="D49" t="str">
        <f>INDEX('Question context'!$D$2:$D$49,MATCH($C49,'Question context'!$C$2:$C$49,0))</f>
        <v>What mechanisms and appropriate aggregate DER representations and data are necessary to account for DERs in system-wide operation and planning, and in techno economic evaluation?</v>
      </c>
      <c r="E49">
        <f>CHOOSE(N(INDEX('Question context'!$E$2:$Y$49,MATCH($C49,'Question context'!$C$2:$C$49,0),MATCH($A49,'Question context'!$E$1:$Y$1,0)))+1,10,30,50,70,90,110)</f>
        <v>30</v>
      </c>
      <c r="F49" t="str">
        <f t="shared" ref="F49:F61" si="5">IF(E49&gt;=70,"High",IF(E49&gt;=40,"Moderate","Low"))</f>
        <v>Low</v>
      </c>
      <c r="H49" t="s">
        <v>575</v>
      </c>
    </row>
    <row r="50" spans="1:8" x14ac:dyDescent="0.25">
      <c r="A50">
        <v>65</v>
      </c>
      <c r="B50" t="str">
        <f>IFERROR(INDEX('Abstracts List'!$B:$B,MATCH($A50,'Abstracts List'!$A:$A,0)),"")</f>
        <v>Cooperative Hierarchical Control of Isolated Microgrids Considering Energy Storage System Aggregation</v>
      </c>
      <c r="C50">
        <v>13</v>
      </c>
      <c r="D50" t="str">
        <f>INDEX('Question context'!$D$2:$D$49,MATCH($C50,'Question context'!$C$2:$C$49,0))</f>
        <v>How can system operators quantify the bulk-level energy and service opportunities from DER, and how can these services be shared among distribution operators, bulk operators, aggregators and (where applicable) customers?</v>
      </c>
      <c r="E50">
        <f>CHOOSE(N(INDEX('Question context'!$E$2:$Y$49,MATCH($C50,'Question context'!$C$2:$C$49,0),MATCH($A50,'Question context'!$E$1:$Y$1,0)))+1,10,30,50,70,90,110)</f>
        <v>30</v>
      </c>
      <c r="F50" t="str">
        <f t="shared" si="5"/>
        <v>Low</v>
      </c>
      <c r="H50" t="s">
        <v>575</v>
      </c>
    </row>
    <row r="51" spans="1:8" x14ac:dyDescent="0.25">
      <c r="A51">
        <v>65</v>
      </c>
      <c r="B51" t="str">
        <f>IFERROR(INDEX('Abstracts List'!$B:$B,MATCH($A51,'Abstracts List'!$A:$A,0)),"")</f>
        <v>Cooperative Hierarchical Control of Isolated Microgrids Considering Energy Storage System Aggregation</v>
      </c>
      <c r="C51">
        <v>14</v>
      </c>
      <c r="D51" t="str">
        <f>INDEX('Question context'!$D$2:$D$49,MATCH($C51,'Question context'!$C$2:$C$49,0))</f>
        <v>How can bulk-level services provided by DER be valued as a compromise between simplicity and, for example, a complex full cost-reflective approach?</v>
      </c>
      <c r="E51">
        <f>CHOOSE(N(INDEX('Question context'!$E$2:$Y$49,MATCH($C51,'Question context'!$C$2:$C$49,0),MATCH($A51,'Question context'!$E$1:$Y$1,0)))+1,10,30,50,70,90,110)</f>
        <v>30</v>
      </c>
      <c r="F51" t="str">
        <f t="shared" si="5"/>
        <v>Low</v>
      </c>
      <c r="H51" t="s">
        <v>575</v>
      </c>
    </row>
    <row r="52" spans="1:8" x14ac:dyDescent="0.25">
      <c r="A52">
        <v>65</v>
      </c>
      <c r="B52" t="str">
        <f>IFERROR(INDEX('Abstracts List'!$B:$B,MATCH($A52,'Abstracts List'!$A:$A,0)),"")</f>
        <v>Cooperative Hierarchical Control of Isolated Microgrids Considering Energy Storage System Aggregation</v>
      </c>
      <c r="C52">
        <v>15</v>
      </c>
      <c r="D52" t="str">
        <f>INDEX('Question context'!$D$2:$D$49,MATCH($C52,'Question context'!$C$2:$C$49,0))</f>
        <v>What aggregate quantities must be monitored, screened, and validated to ensure reliable service provision from different DER categories and at what
temporal and/or spatial resolution must these processes occur?</v>
      </c>
      <c r="E52">
        <f>CHOOSE(N(INDEX('Question context'!$E$2:$Y$49,MATCH($C52,'Question context'!$C$2:$C$49,0),MATCH($A52,'Question context'!$E$1:$Y$1,0)))+1,10,30,50,70,90,110)</f>
        <v>50</v>
      </c>
      <c r="F52" t="str">
        <f t="shared" si="5"/>
        <v>Moderate</v>
      </c>
      <c r="H52" t="s">
        <v>575</v>
      </c>
    </row>
    <row r="53" spans="1:8" x14ac:dyDescent="0.25">
      <c r="A53">
        <v>65</v>
      </c>
      <c r="B53" t="str">
        <f>IFERROR(INDEX('Abstracts List'!$B:$B,MATCH($A53,'Abstracts List'!$A:$A,0)),"")</f>
        <v>Cooperative Hierarchical Control of Isolated Microgrids Considering Energy Storage System Aggregation</v>
      </c>
      <c r="C53">
        <v>16</v>
      </c>
      <c r="D53" t="str">
        <f>INDEX('Question context'!$D$2:$D$49,MATCH($C53,'Question context'!$C$2:$C$49,0))</f>
        <v>What is the communication capability needed to support monitoring and coordination of DER in terms of reliability, latency, bandwidth and (cyber) security?</v>
      </c>
      <c r="E53">
        <f>CHOOSE(N(INDEX('Question context'!$E$2:$Y$49,MATCH($C53,'Question context'!$C$2:$C$49,0),MATCH($A53,'Question context'!$E$1:$Y$1,0)))+1,10,30,50,70,90,110)</f>
        <v>70</v>
      </c>
      <c r="F53" t="str">
        <f t="shared" si="5"/>
        <v>High</v>
      </c>
      <c r="H53" t="s">
        <v>575</v>
      </c>
    </row>
    <row r="54" spans="1:8" x14ac:dyDescent="0.25">
      <c r="A54">
        <v>65</v>
      </c>
      <c r="B54" t="str">
        <f>IFERROR(INDEX('Abstracts List'!$B:$B,MATCH($A54,'Abstracts List'!$A:$A,0)),"")</f>
        <v>Cooperative Hierarchical Control of Isolated Microgrids Considering Energy Storage System Aggregation</v>
      </c>
      <c r="C54">
        <v>17</v>
      </c>
      <c r="D54" t="str">
        <f>INDEX('Question context'!$D$2:$D$49,MATCH($C54,'Question context'!$C$2:$C$49,0))</f>
        <v>What is a scalable data architecture for DER monitoring, modelling, and coordination in real-time that would be suitable for the control room?</v>
      </c>
      <c r="E54">
        <f>CHOOSE(N(INDEX('Question context'!$E$2:$Y$49,MATCH($C54,'Question context'!$C$2:$C$49,0),MATCH($A54,'Question context'!$E$1:$Y$1,0)))+1,10,30,50,70,90,110)</f>
        <v>50</v>
      </c>
      <c r="F54" t="str">
        <f t="shared" si="5"/>
        <v>Moderate</v>
      </c>
      <c r="H54" t="s">
        <v>575</v>
      </c>
    </row>
    <row r="55" spans="1:8" x14ac:dyDescent="0.25">
      <c r="A55">
        <v>65</v>
      </c>
      <c r="B55" t="str">
        <f>IFERROR(INDEX('Abstracts List'!$B:$B,MATCH($A55,'Abstracts List'!$A:$A,0)),"")</f>
        <v>Cooperative Hierarchical Control of Isolated Microgrids Considering Energy Storage System Aggregation</v>
      </c>
      <c r="C55">
        <v>18</v>
      </c>
      <c r="D55" t="str">
        <f>INDEX('Question context'!$D$2:$D$49,MATCH($C55,'Question context'!$C$2:$C$49,0))</f>
        <v>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v>
      </c>
      <c r="E55">
        <f>CHOOSE(N(INDEX('Question context'!$E$2:$Y$49,MATCH($C55,'Question context'!$C$2:$C$49,0),MATCH($A55,'Question context'!$E$1:$Y$1,0)))+1,10,30,50,70,90,110)</f>
        <v>50</v>
      </c>
      <c r="F55" t="str">
        <f t="shared" si="5"/>
        <v>Moderate</v>
      </c>
      <c r="H55" t="s">
        <v>575</v>
      </c>
    </row>
    <row r="56" spans="1:8" x14ac:dyDescent="0.25">
      <c r="A56">
        <v>65</v>
      </c>
      <c r="B56" t="str">
        <f>IFERROR(INDEX('Abstracts List'!$B:$B,MATCH($A56,'Abstracts List'!$A:$A,0)),"")</f>
        <v>Cooperative Hierarchical Control of Isolated Microgrids Considering Energy Storage System Aggregation</v>
      </c>
      <c r="C56">
        <v>29</v>
      </c>
      <c r="D56" t="str">
        <f>INDEX('Question context'!$D$2:$D$49,MATCH($C56,'Question context'!$C$2:$C$49,0))</f>
        <v>What are the needs of a power system expressed in technologically neutral form and how do these needs map to services that any resource (including data centers, other IBRs, DERs, high-voltage direct current links, etc.) can provide? </v>
      </c>
      <c r="E56">
        <f>CHOOSE(N(INDEX('Question context'!$E$2:$Y$49,MATCH($C56,'Question context'!$C$2:$C$49,0),MATCH($A56,'Question context'!$E$1:$Y$1,0)))+1,10,30,50,70,90,110)</f>
        <v>50</v>
      </c>
      <c r="F56" t="str">
        <f t="shared" si="5"/>
        <v>Moderate</v>
      </c>
      <c r="H56" t="s">
        <v>575</v>
      </c>
    </row>
    <row r="57" spans="1:8" x14ac:dyDescent="0.25">
      <c r="A57">
        <v>65</v>
      </c>
      <c r="B57" t="str">
        <f>IFERROR(INDEX('Abstracts List'!$B:$B,MATCH($A57,'Abstracts List'!$A:$A,0)),"")</f>
        <v>Cooperative Hierarchical Control of Isolated Microgrids Considering Energy Storage System Aggregation</v>
      </c>
      <c r="C57">
        <v>33</v>
      </c>
      <c r="D57" t="str">
        <f>INDEX('Question context'!$D$2:$D$49,MATCH($C57,'Question context'!$C$2:$C$49,0))</f>
        <v>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E57">
        <f>CHOOSE(N(INDEX('Question context'!$E$2:$Y$49,MATCH($C57,'Question context'!$C$2:$C$49,0),MATCH($A57,'Question context'!$E$1:$Y$1,0)))+1,10,30,50,70,90,110)</f>
        <v>50</v>
      </c>
      <c r="F57" t="str">
        <f t="shared" si="5"/>
        <v>Moderate</v>
      </c>
      <c r="H57" t="s">
        <v>575</v>
      </c>
    </row>
    <row r="58" spans="1:8" x14ac:dyDescent="0.25">
      <c r="A58">
        <v>65</v>
      </c>
      <c r="B58" t="str">
        <f>IFERROR(INDEX('Abstracts List'!$B:$B,MATCH($A58,'Abstracts List'!$A:$A,0)),"")</f>
        <v>Cooperative Hierarchical Control of Isolated Microgrids Considering Energy Storage System Aggregation</v>
      </c>
      <c r="C58">
        <v>35</v>
      </c>
      <c r="D58" t="str">
        <f>INDEX('Question context'!$D$2:$D$49,MATCH($C58,'Question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58">
        <f>CHOOSE(N(INDEX('Question context'!$E$2:$Y$49,MATCH($C58,'Question context'!$C$2:$C$49,0),MATCH($A58,'Question context'!$E$1:$Y$1,0)))+1,10,30,50,70,90,110)</f>
        <v>50</v>
      </c>
      <c r="F58" t="str">
        <f t="shared" si="5"/>
        <v>Moderate</v>
      </c>
      <c r="H58" t="s">
        <v>575</v>
      </c>
    </row>
    <row r="59" spans="1:8" x14ac:dyDescent="0.25">
      <c r="A59">
        <v>65</v>
      </c>
      <c r="B59" t="str">
        <f>IFERROR(INDEX('Abstracts List'!$B:$B,MATCH($A59,'Abstracts List'!$A:$A,0)),"")</f>
        <v>Cooperative Hierarchical Control of Isolated Microgrids Considering Energy Storage System Aggregation</v>
      </c>
      <c r="C59">
        <v>40</v>
      </c>
      <c r="D59" t="str">
        <f>INDEX('Question context'!$D$2:$D$49,MATCH($C59,'Question context'!$C$2:$C$49,0))</f>
        <v>What studies and metrics are required to evaluate resource adequacy with hybrid plants (e.g., photovoltaics-plus-storage) and virtual power plants? </v>
      </c>
      <c r="E59">
        <f>CHOOSE(N(INDEX('Question context'!$E$2:$Y$49,MATCH($C59,'Question context'!$C$2:$C$49,0),MATCH($A59,'Question context'!$E$1:$Y$1,0)))+1,10,30,50,70,90,110)</f>
        <v>30</v>
      </c>
      <c r="F59" t="str">
        <f t="shared" si="5"/>
        <v>Low</v>
      </c>
      <c r="H59" t="s">
        <v>575</v>
      </c>
    </row>
    <row r="60" spans="1:8" x14ac:dyDescent="0.25">
      <c r="A60">
        <v>65</v>
      </c>
      <c r="B60" t="str">
        <f>IFERROR(INDEX('Abstracts List'!$B:$B,MATCH($A60,'Abstracts List'!$A:$A,0)),"")</f>
        <v>Cooperative Hierarchical Control of Isolated Microgrids Considering Energy Storage System Aggregation</v>
      </c>
      <c r="C60">
        <v>42</v>
      </c>
      <c r="D60" t="str">
        <f>INDEX('Question context'!$D$2:$D$49,MATCH($C60,'Question context'!$C$2:$C$49,0))</f>
        <v>What additional planning models and methods are needed to plan for various levels of uncertainty and no-regrets investments in a paradigm of increasing electrification and growing IBR and DER penetrations? </v>
      </c>
      <c r="E60">
        <f>CHOOSE(N(INDEX('Question context'!$E$2:$Y$49,MATCH($C60,'Question context'!$C$2:$C$49,0),MATCH($A60,'Question context'!$E$1:$Y$1,0)))+1,10,30,50,70,90,110)</f>
        <v>30</v>
      </c>
      <c r="F60" t="str">
        <f t="shared" si="5"/>
        <v>Low</v>
      </c>
      <c r="H60" t="s">
        <v>575</v>
      </c>
    </row>
    <row r="61" spans="1:8" x14ac:dyDescent="0.25">
      <c r="A61">
        <v>65</v>
      </c>
      <c r="B61" t="str">
        <f>IFERROR(INDEX('Abstracts List'!$B:$B,MATCH($A61,'Abstracts List'!$A:$A,0)),"")</f>
        <v>Cooperative Hierarchical Control of Isolated Microgrids Considering Energy Storage System Aggregation</v>
      </c>
      <c r="C61">
        <v>44</v>
      </c>
      <c r="D61" t="str">
        <f>INDEX('Question context'!$D$2:$D$49,MATCH($C61,'Question context'!$C$2:$C$49,0))</f>
        <v>What methods, processes, and products (e.g. services) can support effective valuation, integration, and procurement of long-duration energy storage? </v>
      </c>
      <c r="E61">
        <f>CHOOSE(N(INDEX('Question context'!$E$2:$Y$49,MATCH($C61,'Question context'!$C$2:$C$49,0),MATCH($A61,'Question context'!$E$1:$Y$1,0)))+1,10,30,50,70,90,110)</f>
        <v>50</v>
      </c>
      <c r="F61" t="str">
        <f t="shared" si="5"/>
        <v>Moderate</v>
      </c>
      <c r="H61" t="s">
        <v>575</v>
      </c>
    </row>
    <row r="62" spans="1:8" x14ac:dyDescent="0.25">
      <c r="A62">
        <v>281</v>
      </c>
      <c r="B62" t="str">
        <f>IFERROR(INDEX('Abstracts List'!$B:$B,MATCH($A62,'Abstracts List'!$A:$A,0)),"")</f>
        <v>Minimum Energy Demands of Energy Storages for Fast Frequency Response: Formulation, Solution, and Implementation</v>
      </c>
      <c r="C62">
        <v>21</v>
      </c>
      <c r="D62" t="str">
        <f>INDEX('Question context'!$D$2:$D$49,MATCH($C62,'Question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62">
        <f>CHOOSE(N(INDEX('Question context'!$E$2:$Y$49,MATCH($C62,'Question context'!$C$2:$C$49,0),MATCH($A62,'Question context'!$E$1:$Y$1,0)))+1,10,30,50,70,90,110)</f>
        <v>30</v>
      </c>
      <c r="F62" t="str">
        <f t="shared" ref="F62:F68" si="6">IF(E62&gt;=70,"High",IF(E62&gt;=40,"Moderate","Low"))</f>
        <v>Low</v>
      </c>
      <c r="H62" t="s">
        <v>575</v>
      </c>
    </row>
    <row r="63" spans="1:8" x14ac:dyDescent="0.25">
      <c r="A63">
        <v>281</v>
      </c>
      <c r="B63" t="str">
        <f>IFERROR(INDEX('Abstracts List'!$B:$B,MATCH($A63,'Abstracts List'!$A:$A,0)),"")</f>
        <v>Minimum Energy Demands of Energy Storages for Fast Frequency Response: Formulation, Solution, and Implementation</v>
      </c>
      <c r="C63">
        <v>29</v>
      </c>
      <c r="D63" t="str">
        <f>INDEX('Question context'!$D$2:$D$49,MATCH($C63,'Question context'!$C$2:$C$49,0))</f>
        <v>What are the needs of a power system expressed in technologically neutral form and how do these needs map to services that any resource (including data centers, other IBRs, DERs, high-voltage direct current links, etc.) can provide? </v>
      </c>
      <c r="E63">
        <f>CHOOSE(N(INDEX('Question context'!$E$2:$Y$49,MATCH($C63,'Question context'!$C$2:$C$49,0),MATCH($A63,'Question context'!$E$1:$Y$1,0)))+1,10,30,50,70,90,110)</f>
        <v>50</v>
      </c>
      <c r="F63" t="str">
        <f t="shared" si="6"/>
        <v>Moderate</v>
      </c>
      <c r="H63" t="s">
        <v>575</v>
      </c>
    </row>
    <row r="64" spans="1:8" x14ac:dyDescent="0.25">
      <c r="A64">
        <v>281</v>
      </c>
      <c r="B64" t="str">
        <f>IFERROR(INDEX('Abstracts List'!$B:$B,MATCH($A64,'Abstracts List'!$A:$A,0)),"")</f>
        <v>Minimum Energy Demands of Energy Storages for Fast Frequency Response: Formulation, Solution, and Implementation</v>
      </c>
      <c r="C64">
        <v>30</v>
      </c>
      <c r="D64" t="str">
        <f>INDEX('Question context'!$D$2:$D$49,MATCH($C64,'Question context'!$C$2:$C$49,0))</f>
        <v>How can system performance requirements be translated into reliable new technology solutions? </v>
      </c>
      <c r="E64">
        <f>CHOOSE(N(INDEX('Question context'!$E$2:$Y$49,MATCH($C64,'Question context'!$C$2:$C$49,0),MATCH($A64,'Question context'!$E$1:$Y$1,0)))+1,10,30,50,70,90,110)</f>
        <v>50</v>
      </c>
      <c r="F64" t="str">
        <f t="shared" si="6"/>
        <v>Moderate</v>
      </c>
      <c r="H64" t="s">
        <v>575</v>
      </c>
    </row>
    <row r="65" spans="1:8" x14ac:dyDescent="0.25">
      <c r="A65">
        <v>281</v>
      </c>
      <c r="B65" t="str">
        <f>IFERROR(INDEX('Abstracts List'!$B:$B,MATCH($A65,'Abstracts List'!$A:$A,0)),"")</f>
        <v>Minimum Energy Demands of Energy Storages for Fast Frequency Response: Formulation, Solution, and Implementation</v>
      </c>
      <c r="C65">
        <v>33</v>
      </c>
      <c r="D65" t="str">
        <f>INDEX('Question context'!$D$2:$D$49,MATCH($C65,'Question context'!$C$2:$C$49,0))</f>
        <v>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E65">
        <f>CHOOSE(N(INDEX('Question context'!$E$2:$Y$49,MATCH($C65,'Question context'!$C$2:$C$49,0),MATCH($A65,'Question context'!$E$1:$Y$1,0)))+1,10,30,50,70,90,110)</f>
        <v>50</v>
      </c>
      <c r="F65" t="str">
        <f t="shared" si="6"/>
        <v>Moderate</v>
      </c>
      <c r="H65" t="s">
        <v>575</v>
      </c>
    </row>
    <row r="66" spans="1:8" x14ac:dyDescent="0.25">
      <c r="A66">
        <v>281</v>
      </c>
      <c r="B66" t="str">
        <f>IFERROR(INDEX('Abstracts List'!$B:$B,MATCH($A66,'Abstracts List'!$A:$A,0)),"")</f>
        <v>Minimum Energy Demands of Energy Storages for Fast Frequency Response: Formulation, Solution, and Implementation</v>
      </c>
      <c r="C66">
        <v>34</v>
      </c>
      <c r="D66" t="str">
        <f>INDEX('Question context'!$D$2:$D$49,MATCH($C66,'Question context'!$C$2:$C$49,0))</f>
        <v>What methods could determine the need, sufficiency, and locational nature of IBR voltage control and system strength services for a given area? </v>
      </c>
      <c r="E66">
        <f>CHOOSE(N(INDEX('Question context'!$E$2:$Y$49,MATCH($C66,'Question context'!$C$2:$C$49,0),MATCH($A66,'Question context'!$E$1:$Y$1,0)))+1,10,30,50,70,90,110)</f>
        <v>30</v>
      </c>
      <c r="F66" t="str">
        <f t="shared" si="6"/>
        <v>Low</v>
      </c>
      <c r="H66" t="s">
        <v>575</v>
      </c>
    </row>
    <row r="67" spans="1:8" x14ac:dyDescent="0.25">
      <c r="A67">
        <v>281</v>
      </c>
      <c r="B67" t="str">
        <f>IFERROR(INDEX('Abstracts List'!$B:$B,MATCH($A67,'Abstracts List'!$A:$A,0)),"")</f>
        <v>Minimum Energy Demands of Energy Storages for Fast Frequency Response: Formulation, Solution, and Implementation</v>
      </c>
      <c r="C67">
        <v>35</v>
      </c>
      <c r="D67" t="str">
        <f>INDEX('Question context'!$D$2:$D$49,MATCH($C67,'Question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67">
        <f>CHOOSE(N(INDEX('Question context'!$E$2:$Y$49,MATCH($C67,'Question context'!$C$2:$C$49,0),MATCH($A67,'Question context'!$E$1:$Y$1,0)))+1,10,30,50,70,90,110)</f>
        <v>50</v>
      </c>
      <c r="F67" t="str">
        <f t="shared" si="6"/>
        <v>Moderate</v>
      </c>
      <c r="H67" t="s">
        <v>575</v>
      </c>
    </row>
    <row r="68" spans="1:8" x14ac:dyDescent="0.25">
      <c r="A68">
        <v>281</v>
      </c>
      <c r="B68" t="str">
        <f>IFERROR(INDEX('Abstracts List'!$B:$B,MATCH($A68,'Abstracts List'!$A:$A,0)),"")</f>
        <v>Minimum Energy Demands of Energy Storages for Fast Frequency Response: Formulation, Solution, and Implementation</v>
      </c>
      <c r="C68">
        <v>36</v>
      </c>
      <c r="D68" t="str">
        <f>INDEX('Question context'!$D$2:$D$49,MATCH($C68,'Question context'!$C$2:$C$49,0))</f>
        <v>What system services can be designed to enable response from IBRs that can be a substitute for inertia (i.e. very fast frequency response)?  </v>
      </c>
      <c r="E68">
        <f>CHOOSE(N(INDEX('Question context'!$E$2:$Y$49,MATCH($C68,'Question context'!$C$2:$C$49,0),MATCH($A68,'Question context'!$E$1:$Y$1,0)))+1,10,30,50,70,90,110)</f>
        <v>70</v>
      </c>
      <c r="F68" t="str">
        <f t="shared" si="6"/>
        <v>High</v>
      </c>
      <c r="H68" t="s">
        <v>575</v>
      </c>
    </row>
    <row r="69" spans="1:8" x14ac:dyDescent="0.25">
      <c r="A69">
        <v>241</v>
      </c>
      <c r="B69" t="str">
        <f>IFERROR(INDEX('Abstracts List'!$B:$B,MATCH($A69,'Abstracts List'!$A:$A,0)),"")</f>
        <v>Adaptive Weighted Combination Approach for Wind Power Forecast Based on Deep Deterministic Policy Gradient Method</v>
      </c>
      <c r="C69">
        <v>27</v>
      </c>
      <c r="D69" t="str">
        <f>INDEX('Question context'!$D$2:$D$49,MATCH($C69,'Question context'!$C$2:$C$49,0))</f>
        <v>How can risk-based methods (e.g. probabilistic forecasting techniques) be better incorporated into operational decision-support tools and used consistently across multiple stages (e.g., real-time, day ahead, intraday planning)?</v>
      </c>
      <c r="E69">
        <f>CHOOSE(N(INDEX('Question context'!$E$2:$Y$49,MATCH($C69,'Question context'!$C$2:$C$49,0),MATCH($A69,'Question context'!$E$1:$Y$1,0)))+1,10,30,50,70,90,110)</f>
        <v>30</v>
      </c>
      <c r="F69" t="str">
        <f t="shared" ref="F69:F74" si="7">IF(E69&gt;=70,"High",IF(E69&gt;=40,"Moderate","Low"))</f>
        <v>Low</v>
      </c>
      <c r="H69" t="s">
        <v>575</v>
      </c>
    </row>
    <row r="70" spans="1:8" x14ac:dyDescent="0.25">
      <c r="A70">
        <v>94</v>
      </c>
      <c r="B70" t="str">
        <f>IFERROR(INDEX('Abstracts List'!$B:$B,MATCH($A70,'Abstracts List'!$A:$A,0)),"")</f>
        <v>An AC-Feasible Linear Model in Distribution Networks With Energy Storage</v>
      </c>
      <c r="C70">
        <v>12</v>
      </c>
      <c r="D70" t="str">
        <f>INDEX('Question context'!$D$2:$D$49,MATCH($C70,'Question context'!$C$2:$C$49,0))</f>
        <v>What mechanisms and appropriate aggregate DER representations and data are necessary to account for DERs in system-wide operation and planning, and in techno economic evaluation?</v>
      </c>
      <c r="E70">
        <f>CHOOSE(N(INDEX('Question context'!$E$2:$Y$49,MATCH($C70,'Question context'!$C$2:$C$49,0),MATCH($A70,'Question context'!$E$1:$Y$1,0)))+1,10,30,50,70,90,110)</f>
        <v>30</v>
      </c>
      <c r="F70" t="str">
        <f t="shared" si="7"/>
        <v>Low</v>
      </c>
      <c r="H70" t="s">
        <v>575</v>
      </c>
    </row>
    <row r="71" spans="1:8" x14ac:dyDescent="0.25">
      <c r="A71">
        <v>94</v>
      </c>
      <c r="B71" t="str">
        <f>IFERROR(INDEX('Abstracts List'!$B:$B,MATCH($A71,'Abstracts List'!$A:$A,0)),"")</f>
        <v>An AC-Feasible Linear Model in Distribution Networks With Energy Storage</v>
      </c>
      <c r="C71">
        <v>13</v>
      </c>
      <c r="D71" t="str">
        <f>INDEX('Question context'!$D$2:$D$49,MATCH($C71,'Question context'!$C$2:$C$49,0))</f>
        <v>How can system operators quantify the bulk-level energy and service opportunities from DER, and how can these services be shared among distribution operators, bulk operators, aggregators and (where applicable) customers?</v>
      </c>
      <c r="E71">
        <f>CHOOSE(N(INDEX('Question context'!$E$2:$Y$49,MATCH($C71,'Question context'!$C$2:$C$49,0),MATCH($A71,'Question context'!$E$1:$Y$1,0)))+1,10,30,50,70,90,110)</f>
        <v>30</v>
      </c>
      <c r="F71" t="str">
        <f t="shared" si="7"/>
        <v>Low</v>
      </c>
      <c r="H71" t="s">
        <v>575</v>
      </c>
    </row>
    <row r="72" spans="1:8" x14ac:dyDescent="0.25">
      <c r="A72">
        <v>94</v>
      </c>
      <c r="B72" t="str">
        <f>IFERROR(INDEX('Abstracts List'!$B:$B,MATCH($A72,'Abstracts List'!$A:$A,0)),"")</f>
        <v>An AC-Feasible Linear Model in Distribution Networks With Energy Storage</v>
      </c>
      <c r="C72">
        <v>15</v>
      </c>
      <c r="D72" t="str">
        <f>INDEX('Question context'!$D$2:$D$49,MATCH($C72,'Question context'!$C$2:$C$49,0))</f>
        <v>What aggregate quantities must be monitored, screened, and validated to ensure reliable service provision from different DER categories and at what
temporal and/or spatial resolution must these processes occur?</v>
      </c>
      <c r="E72">
        <f>CHOOSE(N(INDEX('Question context'!$E$2:$Y$49,MATCH($C72,'Question context'!$C$2:$C$49,0),MATCH($A72,'Question context'!$E$1:$Y$1,0)))+1,10,30,50,70,90,110)</f>
        <v>50</v>
      </c>
      <c r="F72" t="str">
        <f t="shared" si="7"/>
        <v>Moderate</v>
      </c>
      <c r="H72" t="s">
        <v>575</v>
      </c>
    </row>
    <row r="73" spans="1:8" x14ac:dyDescent="0.25">
      <c r="A73">
        <v>94</v>
      </c>
      <c r="B73" t="str">
        <f>IFERROR(INDEX('Abstracts List'!$B:$B,MATCH($A73,'Abstracts List'!$A:$A,0)),"")</f>
        <v>An AC-Feasible Linear Model in Distribution Networks With Energy Storage</v>
      </c>
      <c r="C73">
        <v>21</v>
      </c>
      <c r="D73" t="str">
        <f>INDEX('Question context'!$D$2:$D$49,MATCH($C73,'Question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73">
        <f>CHOOSE(N(INDEX('Question context'!$E$2:$Y$49,MATCH($C73,'Question context'!$C$2:$C$49,0),MATCH($A73,'Question context'!$E$1:$Y$1,0)))+1,10,30,50,70,90,110)</f>
        <v>50</v>
      </c>
      <c r="F73" t="str">
        <f t="shared" si="7"/>
        <v>Moderate</v>
      </c>
      <c r="H73" t="s">
        <v>575</v>
      </c>
    </row>
    <row r="74" spans="1:8" x14ac:dyDescent="0.25">
      <c r="A74">
        <v>94</v>
      </c>
      <c r="B74" t="str">
        <f>IFERROR(INDEX('Abstracts List'!$B:$B,MATCH($A74,'Abstracts List'!$A:$A,0)),"")</f>
        <v>An AC-Feasible Linear Model in Distribution Networks With Energy Storage</v>
      </c>
      <c r="C74">
        <v>29</v>
      </c>
      <c r="D74" t="str">
        <f>INDEX('Question context'!$D$2:$D$49,MATCH($C74,'Question context'!$C$2:$C$49,0))</f>
        <v>What are the needs of a power system expressed in technologically neutral form and how do these needs map to services that any resource (including data centers, other IBRs, DERs, high-voltage direct current links, etc.) can provide? </v>
      </c>
      <c r="E74">
        <f>CHOOSE(N(INDEX('Question context'!$E$2:$Y$49,MATCH($C74,'Question context'!$C$2:$C$49,0),MATCH($A74,'Question context'!$E$1:$Y$1,0)))+1,10,30,50,70,90,110)</f>
        <v>50</v>
      </c>
      <c r="F74" t="str">
        <f t="shared" si="7"/>
        <v>Moderate</v>
      </c>
      <c r="H74" t="s">
        <v>575</v>
      </c>
    </row>
    <row r="75" spans="1:8" x14ac:dyDescent="0.25">
      <c r="A75">
        <v>94</v>
      </c>
      <c r="B75" t="str">
        <f>IFERROR(INDEX('Abstracts List'!$B:$B,MATCH($A75,'Abstracts List'!$A:$A,0)),"")</f>
        <v>An AC-Feasible Linear Model in Distribution Networks With Energy Storage</v>
      </c>
      <c r="C75">
        <v>35</v>
      </c>
      <c r="D75" t="str">
        <f>INDEX('Question context'!$D$2:$D$49,MATCH($C75,'Question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75">
        <f>CHOOSE(N(INDEX('Question context'!$E$2:$Y$49,MATCH($C75,'Question context'!$C$2:$C$49,0),MATCH($A75,'Question context'!$E$1:$Y$1,0)))+1,10,30,50,70,90,110)</f>
        <v>30</v>
      </c>
      <c r="F75" t="str">
        <f t="shared" ref="F75:F85" si="8">IF(E75&gt;=70,"High",IF(E75&gt;=40,"Moderate","Low"))</f>
        <v>Low</v>
      </c>
      <c r="H75" t="s">
        <v>575</v>
      </c>
    </row>
    <row r="76" spans="1:8" x14ac:dyDescent="0.25">
      <c r="A76">
        <v>94</v>
      </c>
      <c r="B76" t="str">
        <f>IFERROR(INDEX('Abstracts List'!$B:$B,MATCH($A76,'Abstracts List'!$A:$A,0)),"")</f>
        <v>An AC-Feasible Linear Model in Distribution Networks With Energy Storage</v>
      </c>
      <c r="C76">
        <v>40</v>
      </c>
      <c r="D76" t="str">
        <f>INDEX('Question context'!$D$2:$D$49,MATCH($C76,'Question context'!$C$2:$C$49,0))</f>
        <v>What studies and metrics are required to evaluate resource adequacy with hybrid plants (e.g., photovoltaics-plus-storage) and virtual power plants? </v>
      </c>
      <c r="E76">
        <f>CHOOSE(N(INDEX('Question context'!$E$2:$Y$49,MATCH($C76,'Question context'!$C$2:$C$49,0),MATCH($A76,'Question context'!$E$1:$Y$1,0)))+1,10,30,50,70,90,110)</f>
        <v>30</v>
      </c>
      <c r="F76" t="str">
        <f t="shared" si="8"/>
        <v>Low</v>
      </c>
      <c r="H76" t="s">
        <v>575</v>
      </c>
    </row>
    <row r="77" spans="1:8" x14ac:dyDescent="0.25">
      <c r="A77">
        <v>94</v>
      </c>
      <c r="B77" t="str">
        <f>IFERROR(INDEX('Abstracts List'!$B:$B,MATCH($A77,'Abstracts List'!$A:$A,0)),"")</f>
        <v>An AC-Feasible Linear Model in Distribution Networks With Energy Storage</v>
      </c>
      <c r="C77">
        <v>42</v>
      </c>
      <c r="D77" t="str">
        <f>INDEX('Question context'!$D$2:$D$49,MATCH($C77,'Question context'!$C$2:$C$49,0))</f>
        <v>What additional planning models and methods are needed to plan for various levels of uncertainty and no-regrets investments in a paradigm of increasing electrification and growing IBR and DER penetrations? </v>
      </c>
      <c r="E77">
        <f>CHOOSE(N(INDEX('Question context'!$E$2:$Y$49,MATCH($C77,'Question context'!$C$2:$C$49,0),MATCH($A77,'Question context'!$E$1:$Y$1,0)))+1,10,30,50,70,90,110)</f>
        <v>30</v>
      </c>
      <c r="F77" t="str">
        <f t="shared" si="8"/>
        <v>Low</v>
      </c>
      <c r="H77" t="s">
        <v>575</v>
      </c>
    </row>
    <row r="78" spans="1:8" x14ac:dyDescent="0.25">
      <c r="A78">
        <v>94</v>
      </c>
      <c r="B78" t="str">
        <f>IFERROR(INDEX('Abstracts List'!$B:$B,MATCH($A78,'Abstracts List'!$A:$A,0)),"")</f>
        <v>An AC-Feasible Linear Model in Distribution Networks With Energy Storage</v>
      </c>
      <c r="C78">
        <v>43</v>
      </c>
      <c r="D78" t="str">
        <f>INDEX('Question context'!$D$2:$D$49,MATCH($C78,'Question context'!$C$2:$C$49,0))</f>
        <v>What changes can be incorporated into the transmission planning process, especially inter-regional planning, to unlock multi-value system benefits and accommodate new drivers of uncertainty (e.g., large growth due to electrification or low growth due to increased use of DERs)? </v>
      </c>
      <c r="E78">
        <f>CHOOSE(N(INDEX('Question context'!$E$2:$Y$49,MATCH($C78,'Question context'!$C$2:$C$49,0),MATCH($A78,'Question context'!$E$1:$Y$1,0)))+1,10,30,50,70,90,110)</f>
        <v>30</v>
      </c>
      <c r="F78" t="str">
        <f t="shared" si="8"/>
        <v>Low</v>
      </c>
      <c r="H78" t="s">
        <v>575</v>
      </c>
    </row>
    <row r="79" spans="1:8" x14ac:dyDescent="0.25">
      <c r="A79">
        <v>44</v>
      </c>
      <c r="B79" t="str">
        <f>IFERROR(INDEX('Abstracts List'!$B:$B,MATCH($A79,'Abstracts List'!$A:$A,0)),"")</f>
        <v>Hierarchical Control Strategy for Effective Virtual Frequency Responses of Multiple WPPs</v>
      </c>
      <c r="C79">
        <v>3</v>
      </c>
      <c r="D79" t="str">
        <f>INDEX('Question context'!$D$2:$D$49,MATCH($C79,'Question context'!$C$2:$C$49,0))</f>
        <v xml:space="preserve">How could the IBR control paradigm change from replicating synchronous machines to exploiting wider IBR flexibility without introducing integration challenges during the transition? </v>
      </c>
      <c r="E79">
        <f>CHOOSE(N(INDEX('Question context'!$E$2:$Y$49,MATCH($C79,'Question context'!$C$2:$C$49,0),MATCH($A79,'Question context'!$E$1:$Y$1,0)))+1,10,30,50,70,90,110)</f>
        <v>30</v>
      </c>
      <c r="F79" t="str">
        <f t="shared" si="8"/>
        <v>Low</v>
      </c>
      <c r="H79" t="s">
        <v>575</v>
      </c>
    </row>
    <row r="80" spans="1:8" x14ac:dyDescent="0.25">
      <c r="A80">
        <v>44</v>
      </c>
      <c r="B80" t="str">
        <f>IFERROR(INDEX('Abstracts List'!$B:$B,MATCH($A80,'Abstracts List'!$A:$A,0)),"")</f>
        <v>Hierarchical Control Strategy for Effective Virtual Frequency Responses of Multiple WPPs</v>
      </c>
      <c r="C80">
        <v>4</v>
      </c>
      <c r="D80" t="str">
        <f>INDEX('Question context'!$D$2:$D$49,MATCH($C80,'Question context'!$C$2:$C$49,0))</f>
        <v xml:space="preserve">What are the appropriate inverter capabilities and, consequently, control design methods for operation in grids with high percentages of IBRs, and are standard configurations and combinations of services helpful in simplifying operational decision-making? </v>
      </c>
      <c r="E80">
        <f>CHOOSE(N(INDEX('Question context'!$E$2:$Y$49,MATCH($C80,'Question context'!$C$2:$C$49,0),MATCH($A80,'Question context'!$E$1:$Y$1,0)))+1,10,30,50,70,90,110)</f>
        <v>50</v>
      </c>
      <c r="F80" t="str">
        <f t="shared" si="8"/>
        <v>Moderate</v>
      </c>
      <c r="H80" t="s">
        <v>575</v>
      </c>
    </row>
    <row r="81" spans="1:8" x14ac:dyDescent="0.25">
      <c r="A81">
        <v>44</v>
      </c>
      <c r="B81" t="str">
        <f>IFERROR(INDEX('Abstracts List'!$B:$B,MATCH($A81,'Abstracts List'!$A:$A,0)),"")</f>
        <v>Hierarchical Control Strategy for Effective Virtual Frequency Responses of Multiple WPPs</v>
      </c>
      <c r="C81">
        <v>30</v>
      </c>
      <c r="D81" t="str">
        <f>INDEX('Question context'!$D$2:$D$49,MATCH($C81,'Question context'!$C$2:$C$49,0))</f>
        <v>How can system performance requirements be translated into reliable new technology solutions? </v>
      </c>
      <c r="E81">
        <f>CHOOSE(N(INDEX('Question context'!$E$2:$Y$49,MATCH($C81,'Question context'!$C$2:$C$49,0),MATCH($A81,'Question context'!$E$1:$Y$1,0)))+1,10,30,50,70,90,110)</f>
        <v>70</v>
      </c>
      <c r="F81" t="str">
        <f t="shared" si="8"/>
        <v>High</v>
      </c>
      <c r="H81" t="s">
        <v>575</v>
      </c>
    </row>
    <row r="82" spans="1:8" x14ac:dyDescent="0.25">
      <c r="A82">
        <v>44</v>
      </c>
      <c r="B82" t="str">
        <f>IFERROR(INDEX('Abstracts List'!$B:$B,MATCH($A82,'Abstracts List'!$A:$A,0)),"")</f>
        <v>Hierarchical Control Strategy for Effective Virtual Frequency Responses of Multiple WPPs</v>
      </c>
      <c r="C82">
        <v>33</v>
      </c>
      <c r="D82" t="str">
        <f>INDEX('Question context'!$D$2:$D$49,MATCH($C82,'Question context'!$C$2:$C$49,0))</f>
        <v>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E82">
        <f>CHOOSE(N(INDEX('Question context'!$E$2:$Y$49,MATCH($C82,'Question context'!$C$2:$C$49,0),MATCH($A82,'Question context'!$E$1:$Y$1,0)))+1,10,30,50,70,90,110)</f>
        <v>30</v>
      </c>
      <c r="F82" t="str">
        <f t="shared" si="8"/>
        <v>Low</v>
      </c>
      <c r="H82" t="s">
        <v>575</v>
      </c>
    </row>
    <row r="83" spans="1:8" x14ac:dyDescent="0.25">
      <c r="A83">
        <v>44</v>
      </c>
      <c r="B83" t="str">
        <f>IFERROR(INDEX('Abstracts List'!$B:$B,MATCH($A83,'Abstracts List'!$A:$A,0)),"")</f>
        <v>Hierarchical Control Strategy for Effective Virtual Frequency Responses of Multiple WPPs</v>
      </c>
      <c r="C83">
        <v>35</v>
      </c>
      <c r="D83" t="str">
        <f>INDEX('Question context'!$D$2:$D$49,MATCH($C83,'Question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83">
        <f>CHOOSE(N(INDEX('Question context'!$E$2:$Y$49,MATCH($C83,'Question context'!$C$2:$C$49,0),MATCH($A83,'Question context'!$E$1:$Y$1,0)))+1,10,30,50,70,90,110)</f>
        <v>50</v>
      </c>
      <c r="F83" t="str">
        <f t="shared" si="8"/>
        <v>Moderate</v>
      </c>
      <c r="H83" t="s">
        <v>575</v>
      </c>
    </row>
    <row r="84" spans="1:8" x14ac:dyDescent="0.25">
      <c r="A84">
        <v>44</v>
      </c>
      <c r="B84" t="str">
        <f>IFERROR(INDEX('Abstracts List'!$B:$B,MATCH($A84,'Abstracts List'!$A:$A,0)),"")</f>
        <v>Hierarchical Control Strategy for Effective Virtual Frequency Responses of Multiple WPPs</v>
      </c>
      <c r="C84">
        <v>36</v>
      </c>
      <c r="D84" t="str">
        <f>INDEX('Question context'!$D$2:$D$49,MATCH($C84,'Question context'!$C$2:$C$49,0))</f>
        <v>What system services can be designed to enable response from IBRs that can be a substitute for inertia (i.e. very fast frequency response)?  </v>
      </c>
      <c r="E84">
        <f>CHOOSE(N(INDEX('Question context'!$E$2:$Y$49,MATCH($C84,'Question context'!$C$2:$C$49,0),MATCH($A84,'Question context'!$E$1:$Y$1,0)))+1,10,30,50,70,90,110)</f>
        <v>70</v>
      </c>
      <c r="F84" t="str">
        <f t="shared" si="8"/>
        <v>High</v>
      </c>
      <c r="H84" t="s">
        <v>575</v>
      </c>
    </row>
    <row r="85" spans="1:8" x14ac:dyDescent="0.25">
      <c r="A85">
        <v>44</v>
      </c>
      <c r="B85" t="str">
        <f>IFERROR(INDEX('Abstracts List'!$B:$B,MATCH($A85,'Abstracts List'!$A:$A,0)),"")</f>
        <v>Hierarchical Control Strategy for Effective Virtual Frequency Responses of Multiple WPPs</v>
      </c>
      <c r="C85">
        <v>42</v>
      </c>
      <c r="D85" t="str">
        <f>INDEX('Question context'!$D$2:$D$49,MATCH($C85,'Question context'!$C$2:$C$49,0))</f>
        <v>What additional planning models and methods are needed to plan for various levels of uncertainty and no-regrets investments in a paradigm of increasing electrification and growing IBR and DER penetrations? </v>
      </c>
      <c r="E85">
        <f>CHOOSE(N(INDEX('Question context'!$E$2:$Y$49,MATCH($C85,'Question context'!$C$2:$C$49,0),MATCH($A85,'Question context'!$E$1:$Y$1,0)))+1,10,30,50,70,90,110)</f>
        <v>30</v>
      </c>
      <c r="F85" t="str">
        <f t="shared" si="8"/>
        <v>Low</v>
      </c>
      <c r="H85" t="s">
        <v>575</v>
      </c>
    </row>
    <row r="86" spans="1:8" x14ac:dyDescent="0.25">
      <c r="A86">
        <v>174</v>
      </c>
      <c r="B86" t="str">
        <f>IFERROR(INDEX('Abstracts List'!$B:$B,MATCH($A86,'Abstracts List'!$A:$A,0)),"")</f>
        <v>Chance-Constrained Optimization Based PV Hosting Capacity Calculation Using General Polynomial Chaos</v>
      </c>
      <c r="C86">
        <v>42</v>
      </c>
      <c r="D86" t="str">
        <f>INDEX('Question context'!$D$2:$D$49,MATCH($C86,'Question context'!$C$2:$C$49,0))</f>
        <v>What additional planning models and methods are needed to plan for various levels of uncertainty and no-regrets investments in a paradigm of increasing electrification and growing IBR and DER penetrations? </v>
      </c>
      <c r="E86">
        <f>CHOOSE(N(INDEX('Question context'!$E$2:$Y$49,MATCH($C86,'Question context'!$C$2:$C$49,0),MATCH($A86,'Question context'!$E$1:$Y$1,0)))+1,10,30,50,70,90,110)</f>
        <v>50</v>
      </c>
      <c r="F86" t="str">
        <f t="shared" ref="F86" si="9">IF(E86&gt;=70,"High",IF(E86&gt;=40,"Moderate","Low"))</f>
        <v>Moderate</v>
      </c>
      <c r="H86" t="s">
        <v>575</v>
      </c>
    </row>
    <row r="87" spans="1:8" x14ac:dyDescent="0.25">
      <c r="A87">
        <v>194</v>
      </c>
      <c r="B87" t="str">
        <f>IFERROR(INDEX('Abstracts List'!$B:$B,MATCH($A87,'Abstracts List'!$A:$A,0)),"")</f>
        <v>Analysis of Long-Term Indicators in the British Balancing Market</v>
      </c>
      <c r="C87">
        <v>35</v>
      </c>
      <c r="D87" t="str">
        <f>INDEX('Question context'!$D$2:$D$49,MATCH($C87,'Question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87">
        <f>CHOOSE(N(INDEX('Question context'!$E$2:$Y$49,MATCH($C87,'Question context'!$C$2:$C$49,0),MATCH($A87,'Question context'!$E$1:$Y$1,0)))+1,10,30,50,70,90,110)</f>
        <v>30</v>
      </c>
      <c r="F87" t="str">
        <f t="shared" ref="F87:F90" si="10">IF(E87&gt;=70,"High",IF(E87&gt;=40,"Moderate","Low"))</f>
        <v>Low</v>
      </c>
      <c r="H87" t="s">
        <v>575</v>
      </c>
    </row>
    <row r="88" spans="1:8" x14ac:dyDescent="0.25">
      <c r="A88">
        <v>212</v>
      </c>
      <c r="B88" t="str">
        <f>IFERROR(INDEX('Abstracts List'!$B:$B,MATCH($A88,'Abstracts List'!$A:$A,0)),"")</f>
        <v>Comparative Analysis of the Power Output Capabilities of Grid-Following and Grid-Forming Inverters Considering Static, Dynamic, and Thermal Limitations</v>
      </c>
      <c r="C88">
        <v>4</v>
      </c>
      <c r="D88" t="str">
        <f>INDEX('Question context'!$D$2:$D$49,MATCH($C88,'Question context'!$C$2:$C$49,0))</f>
        <v xml:space="preserve">What are the appropriate inverter capabilities and, consequently, control design methods for operation in grids with high percentages of IBRs, and are standard configurations and combinations of services helpful in simplifying operational decision-making? </v>
      </c>
      <c r="E88">
        <f>CHOOSE(N(INDEX('Question context'!$E$2:$Y$49,MATCH($C88,'Question context'!$C$2:$C$49,0),MATCH($A88,'Question context'!$E$1:$Y$1,0)))+1,10,30,50,70,90,110)</f>
        <v>50</v>
      </c>
      <c r="F88" t="str">
        <f t="shared" si="10"/>
        <v>Moderate</v>
      </c>
      <c r="H88" t="s">
        <v>575</v>
      </c>
    </row>
    <row r="89" spans="1:8" x14ac:dyDescent="0.25">
      <c r="A89">
        <v>212</v>
      </c>
      <c r="B89" t="str">
        <f>IFERROR(INDEX('Abstracts List'!$B:$B,MATCH($A89,'Abstracts List'!$A:$A,0)),"")</f>
        <v>Comparative Analysis of the Power Output Capabilities of Grid-Following and Grid-Forming Inverters Considering Static, Dynamic, and Thermal Limitations</v>
      </c>
      <c r="C89">
        <v>9</v>
      </c>
      <c r="D89" t="str">
        <f>INDEX('Question context'!$D$2:$D$49,MATCH($C89,'Question context'!$C$2:$C$49,0))</f>
        <v xml:space="preserve">What analytical tools and models should be provided to planners and operators for robust assessment of system performance in IBR-dominated power grids? </v>
      </c>
      <c r="E89">
        <f>CHOOSE(N(INDEX('Question context'!$E$2:$Y$49,MATCH($C89,'Question context'!$C$2:$C$49,0),MATCH($A89,'Question context'!$E$1:$Y$1,0)))+1,10,30,50,70,90,110)</f>
        <v>50</v>
      </c>
      <c r="F89" t="str">
        <f t="shared" si="10"/>
        <v>Moderate</v>
      </c>
      <c r="H89" t="s">
        <v>575</v>
      </c>
    </row>
    <row r="90" spans="1:8" x14ac:dyDescent="0.25">
      <c r="A90">
        <v>212</v>
      </c>
      <c r="B90" t="str">
        <f>IFERROR(INDEX('Abstracts List'!$B:$B,MATCH($A90,'Abstracts List'!$A:$A,0)),"")</f>
        <v>Comparative Analysis of the Power Output Capabilities of Grid-Following and Grid-Forming Inverters Considering Static, Dynamic, and Thermal Limitations</v>
      </c>
      <c r="C90">
        <v>10</v>
      </c>
      <c r="D90" t="str">
        <f>INDEX('Question context'!$D$2:$D$49,MATCH($C90,'Question context'!$C$2:$C$49,0))</f>
        <v xml:space="preserve">What methods and tools should be used in planning and/or operation to determine the appropriate mix, location, and capabilities of grid-forming and grid-following inverters to mitigate stability problems for a given power system? </v>
      </c>
      <c r="E90">
        <f>CHOOSE(N(INDEX('Question context'!$E$2:$Y$49,MATCH($C90,'Question context'!$C$2:$C$49,0),MATCH($A90,'Question context'!$E$1:$Y$1,0)))+1,10,30,50,70,90,110)</f>
        <v>70</v>
      </c>
      <c r="F90" t="str">
        <f t="shared" si="10"/>
        <v>High</v>
      </c>
      <c r="H90" t="s">
        <v>575</v>
      </c>
    </row>
    <row r="91" spans="1:8" x14ac:dyDescent="0.25">
      <c r="A91">
        <v>15</v>
      </c>
      <c r="B91" t="str">
        <f>IFERROR(INDEX('Abstracts List'!$B:$B,MATCH($A91,'Abstracts List'!$A:$A,0)),"")</f>
        <v>Look-Ahead Rolling Economic Dispatch Approach for Wind-Thermal-Bundled Power System Considering Dynamic Ramping and Flexible Load Transfer Strategy</v>
      </c>
      <c r="C91">
        <v>21</v>
      </c>
      <c r="D91" t="str">
        <f>INDEX('Question context'!$D$2:$D$49,MATCH($C91,'Question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91">
        <f>CHOOSE(N(INDEX('Question context'!$E$2:$Y$49,MATCH($C91,'Question context'!$C$2:$C$49,0),MATCH($A91,'Question context'!$E$1:$Y$1,0)))+1,10,30,50,70,90,110)</f>
        <v>50</v>
      </c>
      <c r="F91" t="str">
        <f t="shared" ref="F91:F96" si="11">IF(E91&gt;=70,"High",IF(E91&gt;=40,"Moderate","Low"))</f>
        <v>Moderate</v>
      </c>
      <c r="H91" t="s">
        <v>575</v>
      </c>
    </row>
    <row r="92" spans="1:8" x14ac:dyDescent="0.25">
      <c r="A92">
        <v>15</v>
      </c>
      <c r="B92" t="str">
        <f>IFERROR(INDEX('Abstracts List'!$B:$B,MATCH($A92,'Abstracts List'!$A:$A,0)),"")</f>
        <v>Look-Ahead Rolling Economic Dispatch Approach for Wind-Thermal-Bundled Power System Considering Dynamic Ramping and Flexible Load Transfer Strategy</v>
      </c>
      <c r="C92">
        <v>26</v>
      </c>
      <c r="D92" t="str">
        <f>INDEX('Question context'!$D$2:$D$49,MATCH($C92,'Question context'!$C$2:$C$49,0))</f>
        <v>What improvements can be made to predictive tools and visualization methodologies in operational applications within the control room to support decision-making in real-time operations?</v>
      </c>
      <c r="E92">
        <f>CHOOSE(N(INDEX('Question context'!$E$2:$Y$49,MATCH($C92,'Question context'!$C$2:$C$49,0),MATCH($A92,'Question context'!$E$1:$Y$1,0)))+1,10,30,50,70,90,110)</f>
        <v>30</v>
      </c>
      <c r="F92" t="str">
        <f t="shared" si="11"/>
        <v>Low</v>
      </c>
      <c r="H92" t="s">
        <v>575</v>
      </c>
    </row>
    <row r="93" spans="1:8" x14ac:dyDescent="0.25">
      <c r="A93">
        <v>15</v>
      </c>
      <c r="B93" t="str">
        <f>IFERROR(INDEX('Abstracts List'!$B:$B,MATCH($A93,'Abstracts List'!$A:$A,0)),"")</f>
        <v>Look-Ahead Rolling Economic Dispatch Approach for Wind-Thermal-Bundled Power System Considering Dynamic Ramping and Flexible Load Transfer Strategy</v>
      </c>
      <c r="C93">
        <v>35</v>
      </c>
      <c r="D93" t="str">
        <f>INDEX('Question context'!$D$2:$D$49,MATCH($C93,'Question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93">
        <f>CHOOSE(N(INDEX('Question context'!$E$2:$Y$49,MATCH($C93,'Question context'!$C$2:$C$49,0),MATCH($A93,'Question context'!$E$1:$Y$1,0)))+1,10,30,50,70,90,110)</f>
        <v>30</v>
      </c>
      <c r="F93" t="str">
        <f t="shared" si="11"/>
        <v>Low</v>
      </c>
      <c r="H93" t="s">
        <v>575</v>
      </c>
    </row>
    <row r="94" spans="1:8" x14ac:dyDescent="0.25">
      <c r="A94">
        <v>231</v>
      </c>
      <c r="B94" t="str">
        <f>IFERROR(INDEX('Abstracts List'!$B:$B,MATCH($A94,'Abstracts List'!$A:$A,0)),"")</f>
        <v>Centralized Distributionally Robust Chance-Constrained Dispatch of Integrated Transmission-Distribution Systems</v>
      </c>
      <c r="C94">
        <v>12</v>
      </c>
      <c r="D94" t="str">
        <f>INDEX('Question context'!$D$2:$D$49,MATCH($C94,'Question context'!$C$2:$C$49,0))</f>
        <v>What mechanisms and appropriate aggregate DER representations and data are necessary to account for DERs in system-wide operation and planning, and in techno economic evaluation?</v>
      </c>
      <c r="E94">
        <f>CHOOSE(N(INDEX('Question context'!$E$2:$Y$49,MATCH($C94,'Question context'!$C$2:$C$49,0),MATCH($A94,'Question context'!$E$1:$Y$1,0)))+1,10,30,50,70,90,110)</f>
        <v>70</v>
      </c>
      <c r="F94" t="str">
        <f t="shared" si="11"/>
        <v>High</v>
      </c>
      <c r="H94" t="s">
        <v>575</v>
      </c>
    </row>
    <row r="95" spans="1:8" x14ac:dyDescent="0.25">
      <c r="A95">
        <v>231</v>
      </c>
      <c r="B95" t="str">
        <f>IFERROR(INDEX('Abstracts List'!$B:$B,MATCH($A95,'Abstracts List'!$A:$A,0)),"")</f>
        <v>Centralized Distributionally Robust Chance-Constrained Dispatch of Integrated Transmission-Distribution Systems</v>
      </c>
      <c r="C95">
        <v>13</v>
      </c>
      <c r="D95" t="str">
        <f>INDEX('Question context'!$D$2:$D$49,MATCH($C95,'Question context'!$C$2:$C$49,0))</f>
        <v>How can system operators quantify the bulk-level energy and service opportunities from DER, and how can these services be shared among distribution operators, bulk operators, aggregators and (where applicable) customers?</v>
      </c>
      <c r="E95">
        <f>CHOOSE(N(INDEX('Question context'!$E$2:$Y$49,MATCH($C95,'Question context'!$C$2:$C$49,0),MATCH($A95,'Question context'!$E$1:$Y$1,0)))+1,10,30,50,70,90,110)</f>
        <v>70</v>
      </c>
      <c r="F95" t="str">
        <f t="shared" si="11"/>
        <v>High</v>
      </c>
      <c r="H95" t="s">
        <v>575</v>
      </c>
    </row>
    <row r="96" spans="1:8" x14ac:dyDescent="0.25">
      <c r="A96">
        <v>231</v>
      </c>
      <c r="B96" t="str">
        <f>IFERROR(INDEX('Abstracts List'!$B:$B,MATCH($A96,'Abstracts List'!$A:$A,0)),"")</f>
        <v>Centralized Distributionally Robust Chance-Constrained Dispatch of Integrated Transmission-Distribution Systems</v>
      </c>
      <c r="C96">
        <v>14</v>
      </c>
      <c r="D96" t="str">
        <f>INDEX('Question context'!$D$2:$D$49,MATCH($C96,'Question context'!$C$2:$C$49,0))</f>
        <v>How can bulk-level services provided by DER be valued as a compromise between simplicity and, for example, a complex full cost-reflective approach?</v>
      </c>
      <c r="E96">
        <f>CHOOSE(N(INDEX('Question context'!$E$2:$Y$49,MATCH($C96,'Question context'!$C$2:$C$49,0),MATCH($A96,'Question context'!$E$1:$Y$1,0)))+1,10,30,50,70,90,110)</f>
        <v>30</v>
      </c>
      <c r="F96" t="str">
        <f t="shared" si="11"/>
        <v>Low</v>
      </c>
      <c r="H96" t="s">
        <v>575</v>
      </c>
    </row>
    <row r="97" spans="1:8" x14ac:dyDescent="0.25">
      <c r="A97">
        <v>231</v>
      </c>
      <c r="B97" t="str">
        <f>IFERROR(INDEX('Abstracts List'!$B:$B,MATCH($A97,'Abstracts List'!$A:$A,0)),"")</f>
        <v>Centralized Distributionally Robust Chance-Constrained Dispatch of Integrated Transmission-Distribution Systems</v>
      </c>
      <c r="C97">
        <v>21</v>
      </c>
      <c r="D97" t="str">
        <f>INDEX('Question context'!$D$2:$D$49,MATCH($C97,'Question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97">
        <f>CHOOSE(N(INDEX('Question context'!$E$2:$Y$49,MATCH($C97,'Question context'!$C$2:$C$49,0),MATCH($A97,'Question context'!$E$1:$Y$1,0)))+1,10,30,50,70,90,110)</f>
        <v>70</v>
      </c>
      <c r="F97" t="str">
        <f t="shared" ref="F97:F107" si="12">IF(E97&gt;=70,"High",IF(E97&gt;=40,"Moderate","Low"))</f>
        <v>High</v>
      </c>
      <c r="H97" t="s">
        <v>575</v>
      </c>
    </row>
    <row r="98" spans="1:8" x14ac:dyDescent="0.25">
      <c r="A98">
        <v>231</v>
      </c>
      <c r="B98" t="str">
        <f>IFERROR(INDEX('Abstracts List'!$B:$B,MATCH($A98,'Abstracts List'!$A:$A,0)),"")</f>
        <v>Centralized Distributionally Robust Chance-Constrained Dispatch of Integrated Transmission-Distribution Systems</v>
      </c>
      <c r="C98">
        <v>33</v>
      </c>
      <c r="D98" t="str">
        <f>INDEX('Question context'!$D$2:$D$49,MATCH($C98,'Question context'!$C$2:$C$49,0))</f>
        <v>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E98">
        <f>CHOOSE(N(INDEX('Question context'!$E$2:$Y$49,MATCH($C98,'Question context'!$C$2:$C$49,0),MATCH($A98,'Question context'!$E$1:$Y$1,0)))+1,10,30,50,70,90,110)</f>
        <v>50</v>
      </c>
      <c r="F98" t="str">
        <f t="shared" si="12"/>
        <v>Moderate</v>
      </c>
      <c r="H98" t="s">
        <v>575</v>
      </c>
    </row>
    <row r="99" spans="1:8" x14ac:dyDescent="0.25">
      <c r="A99">
        <v>231</v>
      </c>
      <c r="B99" t="str">
        <f>IFERROR(INDEX('Abstracts List'!$B:$B,MATCH($A99,'Abstracts List'!$A:$A,0)),"")</f>
        <v>Centralized Distributionally Robust Chance-Constrained Dispatch of Integrated Transmission-Distribution Systems</v>
      </c>
      <c r="C99">
        <v>35</v>
      </c>
      <c r="D99" t="str">
        <f>INDEX('Question context'!$D$2:$D$49,MATCH($C99,'Question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99">
        <f>CHOOSE(N(INDEX('Question context'!$E$2:$Y$49,MATCH($C99,'Question context'!$C$2:$C$49,0),MATCH($A99,'Question context'!$E$1:$Y$1,0)))+1,10,30,50,70,90,110)</f>
        <v>50</v>
      </c>
      <c r="F99" t="str">
        <f t="shared" si="12"/>
        <v>Moderate</v>
      </c>
      <c r="H99" t="s">
        <v>575</v>
      </c>
    </row>
    <row r="100" spans="1:8" x14ac:dyDescent="0.25">
      <c r="A100">
        <v>231</v>
      </c>
      <c r="B100" t="str">
        <f>IFERROR(INDEX('Abstracts List'!$B:$B,MATCH($A100,'Abstracts List'!$A:$A,0)),"")</f>
        <v>Centralized Distributionally Robust Chance-Constrained Dispatch of Integrated Transmission-Distribution Systems</v>
      </c>
      <c r="C100">
        <v>39</v>
      </c>
      <c r="D100" t="str">
        <f>INDEX('Question context'!$D$2:$D$49,MATCH($C100,'Question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100">
        <f>CHOOSE(N(INDEX('Question context'!$E$2:$Y$49,MATCH($C100,'Question context'!$C$2:$C$49,0),MATCH($A100,'Question context'!$E$1:$Y$1,0)))+1,10,30,50,70,90,110)</f>
        <v>50</v>
      </c>
      <c r="F100" t="str">
        <f t="shared" si="12"/>
        <v>Moderate</v>
      </c>
      <c r="H100" t="s">
        <v>575</v>
      </c>
    </row>
    <row r="101" spans="1:8" x14ac:dyDescent="0.25">
      <c r="A101">
        <v>231</v>
      </c>
      <c r="B101" t="str">
        <f>IFERROR(INDEX('Abstracts List'!$B:$B,MATCH($A101,'Abstracts List'!$A:$A,0)),"")</f>
        <v>Centralized Distributionally Robust Chance-Constrained Dispatch of Integrated Transmission-Distribution Systems</v>
      </c>
      <c r="C101">
        <v>42</v>
      </c>
      <c r="D101" t="str">
        <f>INDEX('Question context'!$D$2:$D$49,MATCH($C101,'Question context'!$C$2:$C$49,0))</f>
        <v>What additional planning models and methods are needed to plan for various levels of uncertainty and no-regrets investments in a paradigm of increasing electrification and growing IBR and DER penetrations? </v>
      </c>
      <c r="E101">
        <f>CHOOSE(N(INDEX('Question context'!$E$2:$Y$49,MATCH($C101,'Question context'!$C$2:$C$49,0),MATCH($A101,'Question context'!$E$1:$Y$1,0)))+1,10,30,50,70,90,110)</f>
        <v>50</v>
      </c>
      <c r="F101" t="str">
        <f t="shared" si="12"/>
        <v>Moderate</v>
      </c>
      <c r="H101" t="s">
        <v>575</v>
      </c>
    </row>
    <row r="102" spans="1:8" x14ac:dyDescent="0.25">
      <c r="A102">
        <v>231</v>
      </c>
      <c r="B102" t="str">
        <f>IFERROR(INDEX('Abstracts List'!$B:$B,MATCH($A102,'Abstracts List'!$A:$A,0)),"")</f>
        <v>Centralized Distributionally Robust Chance-Constrained Dispatch of Integrated Transmission-Distribution Systems</v>
      </c>
      <c r="C102">
        <v>43</v>
      </c>
      <c r="D102" t="str">
        <f>INDEX('Question context'!$D$2:$D$49,MATCH($C102,'Question context'!$C$2:$C$49,0))</f>
        <v>What changes can be incorporated into the transmission planning process, especially inter-regional planning, to unlock multi-value system benefits and accommodate new drivers of uncertainty (e.g., large growth due to electrification or low growth due to increased use of DERs)? </v>
      </c>
      <c r="E102">
        <f>CHOOSE(N(INDEX('Question context'!$E$2:$Y$49,MATCH($C102,'Question context'!$C$2:$C$49,0),MATCH($A102,'Question context'!$E$1:$Y$1,0)))+1,10,30,50,70,90,110)</f>
        <v>50</v>
      </c>
      <c r="F102" t="str">
        <f t="shared" si="12"/>
        <v>Moderate</v>
      </c>
      <c r="H102" t="s">
        <v>575</v>
      </c>
    </row>
    <row r="103" spans="1:8" x14ac:dyDescent="0.25">
      <c r="A103">
        <v>231</v>
      </c>
      <c r="B103" t="str">
        <f>IFERROR(INDEX('Abstracts List'!$B:$B,MATCH($A103,'Abstracts List'!$A:$A,0)),"")</f>
        <v>Centralized Distributionally Robust Chance-Constrained Dispatch of Integrated Transmission-Distribution Systems</v>
      </c>
      <c r="C103">
        <v>45</v>
      </c>
      <c r="D103" t="str">
        <f>INDEX('Question context'!$D$2:$D$49,MATCH($C103,'Question context'!$C$2:$C$49,0))</f>
        <v>What additional load and resource forecasting models are necessary to account for electrification, including large loads (e.g., data centers), coupling of the transportation and building sectors, and demand-side flexibility? </v>
      </c>
      <c r="E103">
        <f>CHOOSE(N(INDEX('Question context'!$E$2:$Y$49,MATCH($C103,'Question context'!$C$2:$C$49,0),MATCH($A103,'Question context'!$E$1:$Y$1,0)))+1,10,30,50,70,90,110)</f>
        <v>30</v>
      </c>
      <c r="F103" t="str">
        <f t="shared" si="12"/>
        <v>Low</v>
      </c>
      <c r="H103" t="s">
        <v>575</v>
      </c>
    </row>
    <row r="104" spans="1:8" x14ac:dyDescent="0.25">
      <c r="A104">
        <v>228</v>
      </c>
      <c r="B104" t="str">
        <f>IFERROR(INDEX('Abstracts List'!$B:$B,MATCH($A104,'Abstracts List'!$A:$A,0)),"")</f>
        <v>Reduced Voltage-Dependency by Categorical Location Information and Distance Along Street Metric for Meter-Transformer Mapping in Distribution Systems</v>
      </c>
      <c r="C104">
        <v>13</v>
      </c>
      <c r="D104" t="str">
        <f>INDEX('Question context'!$D$2:$D$49,MATCH($C104,'Question context'!$C$2:$C$49,0))</f>
        <v>How can system operators quantify the bulk-level energy and service opportunities from DER, and how can these services be shared among distribution operators, bulk operators, aggregators and (where applicable) customers?</v>
      </c>
      <c r="E104">
        <f>CHOOSE(N(INDEX('Question context'!$E$2:$Y$49,MATCH($C104,'Question context'!$C$2:$C$49,0),MATCH($A104,'Question context'!$E$1:$Y$1,0)))+1,10,30,50,70,90,110)</f>
        <v>30</v>
      </c>
      <c r="F104" t="str">
        <f t="shared" si="12"/>
        <v>Low</v>
      </c>
      <c r="H104" t="s">
        <v>575</v>
      </c>
    </row>
    <row r="105" spans="1:8" x14ac:dyDescent="0.25">
      <c r="A105">
        <v>228</v>
      </c>
      <c r="B105" t="str">
        <f>IFERROR(INDEX('Abstracts List'!$B:$B,MATCH($A105,'Abstracts List'!$A:$A,0)),"")</f>
        <v>Reduced Voltage-Dependency by Categorical Location Information and Distance Along Street Metric for Meter-Transformer Mapping in Distribution Systems</v>
      </c>
      <c r="C105">
        <v>14</v>
      </c>
      <c r="D105" t="str">
        <f>INDEX('Question context'!$D$2:$D$49,MATCH($C105,'Question context'!$C$2:$C$49,0))</f>
        <v>How can bulk-level services provided by DER be valued as a compromise between simplicity and, for example, a complex full cost-reflective approach?</v>
      </c>
      <c r="E105">
        <f>CHOOSE(N(INDEX('Question context'!$E$2:$Y$49,MATCH($C105,'Question context'!$C$2:$C$49,0),MATCH($A105,'Question context'!$E$1:$Y$1,0)))+1,10,30,50,70,90,110)</f>
        <v>30</v>
      </c>
      <c r="F105" t="str">
        <f t="shared" si="12"/>
        <v>Low</v>
      </c>
      <c r="H105" t="s">
        <v>575</v>
      </c>
    </row>
    <row r="106" spans="1:8" x14ac:dyDescent="0.25">
      <c r="A106">
        <v>228</v>
      </c>
      <c r="B106" t="str">
        <f>IFERROR(INDEX('Abstracts List'!$B:$B,MATCH($A106,'Abstracts List'!$A:$A,0)),"")</f>
        <v>Reduced Voltage-Dependency by Categorical Location Information and Distance Along Street Metric for Meter-Transformer Mapping in Distribution Systems</v>
      </c>
      <c r="C106">
        <v>15</v>
      </c>
      <c r="D106" t="str">
        <f>INDEX('Question context'!$D$2:$D$49,MATCH($C106,'Question context'!$C$2:$C$49,0))</f>
        <v>What aggregate quantities must be monitored, screened, and validated to ensure reliable service provision from different DER categories and at what
temporal and/or spatial resolution must these processes occur?</v>
      </c>
      <c r="E106">
        <f>CHOOSE(N(INDEX('Question context'!$E$2:$Y$49,MATCH($C106,'Question context'!$C$2:$C$49,0),MATCH($A106,'Question context'!$E$1:$Y$1,0)))+1,10,30,50,70,90,110)</f>
        <v>30</v>
      </c>
      <c r="F106" t="str">
        <f t="shared" si="12"/>
        <v>Low</v>
      </c>
      <c r="H106" t="s">
        <v>575</v>
      </c>
    </row>
    <row r="107" spans="1:8" x14ac:dyDescent="0.25">
      <c r="A107">
        <v>228</v>
      </c>
      <c r="B107" t="str">
        <f>IFERROR(INDEX('Abstracts List'!$B:$B,MATCH($A107,'Abstracts List'!$A:$A,0)),"")</f>
        <v>Reduced Voltage-Dependency by Categorical Location Information and Distance Along Street Metric for Meter-Transformer Mapping in Distribution Systems</v>
      </c>
      <c r="C107">
        <v>18</v>
      </c>
      <c r="D107" t="str">
        <f>INDEX('Question context'!$D$2:$D$49,MATCH($C107,'Question context'!$C$2:$C$49,0))</f>
        <v>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v>
      </c>
      <c r="E107">
        <f>CHOOSE(N(INDEX('Question context'!$E$2:$Y$49,MATCH($C107,'Question context'!$C$2:$C$49,0),MATCH($A107,'Question context'!$E$1:$Y$1,0)))+1,10,30,50,70,90,110)</f>
        <v>30</v>
      </c>
      <c r="F107" t="str">
        <f t="shared" si="12"/>
        <v>Low</v>
      </c>
      <c r="H107" t="s">
        <v>575</v>
      </c>
    </row>
    <row r="108" spans="1:8" x14ac:dyDescent="0.25">
      <c r="A108">
        <v>228</v>
      </c>
      <c r="B108" t="str">
        <f>IFERROR(INDEX('Abstracts List'!$B:$B,MATCH($A108,'Abstracts List'!$A:$A,0)),"")</f>
        <v>Reduced Voltage-Dependency by Categorical Location Information and Distance Along Street Metric for Meter-Transformer Mapping in Distribution Systems</v>
      </c>
      <c r="C108">
        <v>43</v>
      </c>
      <c r="D108" t="str">
        <f>INDEX('Question context'!$D$2:$D$49,MATCH($C108,'Question context'!$C$2:$C$49,0))</f>
        <v>What changes can be incorporated into the transmission planning process, especially inter-regional planning, to unlock multi-value system benefits and accommodate new drivers of uncertainty (e.g., large growth due to electrification or low growth due to increased use of DERs)? </v>
      </c>
      <c r="E108">
        <f>CHOOSE(N(INDEX('Question context'!$E$2:$Y$49,MATCH($C108,'Question context'!$C$2:$C$49,0),MATCH($A108,'Question context'!$E$1:$Y$1,0)))+1,10,30,50,70,90,110)</f>
        <v>30</v>
      </c>
      <c r="F108" t="str">
        <f t="shared" ref="F108:F119" si="13">IF(E108&gt;=70,"High",IF(E108&gt;=40,"Moderate","Low"))</f>
        <v>Low</v>
      </c>
      <c r="H108" t="s">
        <v>575</v>
      </c>
    </row>
    <row r="109" spans="1:8" x14ac:dyDescent="0.25">
      <c r="A109">
        <v>45</v>
      </c>
      <c r="B109" t="str">
        <f>IFERROR(INDEX('Abstracts List'!$B:$B,MATCH($A109,'Abstracts List'!$A:$A,0)),"")</f>
        <v>Time Aggregation in Presence of Multiple Variable Energy Resources</v>
      </c>
      <c r="C109">
        <v>12</v>
      </c>
      <c r="D109" t="str">
        <f>INDEX('Question context'!$D$2:$D$49,MATCH($C109,'Question context'!$C$2:$C$49,0))</f>
        <v>What mechanisms and appropriate aggregate DER representations and data are necessary to account for DERs in system-wide operation and planning, and in techno economic evaluation?</v>
      </c>
      <c r="E109">
        <f>CHOOSE(N(INDEX('Question context'!$E$2:$Y$49,MATCH($C109,'Question context'!$C$2:$C$49,0),MATCH($A109,'Question context'!$E$1:$Y$1,0)))+1,10,30,50,70,90,110)</f>
        <v>30</v>
      </c>
      <c r="F109" t="str">
        <f t="shared" si="13"/>
        <v>Low</v>
      </c>
      <c r="H109" t="s">
        <v>575</v>
      </c>
    </row>
    <row r="110" spans="1:8" x14ac:dyDescent="0.25">
      <c r="A110">
        <v>45</v>
      </c>
      <c r="B110" t="str">
        <f>IFERROR(INDEX('Abstracts List'!$B:$B,MATCH($A110,'Abstracts List'!$A:$A,0)),"")</f>
        <v>Time Aggregation in Presence of Multiple Variable Energy Resources</v>
      </c>
      <c r="C110">
        <v>13</v>
      </c>
      <c r="D110" t="str">
        <f>INDEX('Question context'!$D$2:$D$49,MATCH($C110,'Question context'!$C$2:$C$49,0))</f>
        <v>How can system operators quantify the bulk-level energy and service opportunities from DER, and how can these services be shared among distribution operators, bulk operators, aggregators and (where applicable) customers?</v>
      </c>
      <c r="E110">
        <f>CHOOSE(N(INDEX('Question context'!$E$2:$Y$49,MATCH($C110,'Question context'!$C$2:$C$49,0),MATCH($A110,'Question context'!$E$1:$Y$1,0)))+1,10,30,50,70,90,110)</f>
        <v>30</v>
      </c>
      <c r="F110" t="str">
        <f t="shared" si="13"/>
        <v>Low</v>
      </c>
      <c r="H110" t="s">
        <v>575</v>
      </c>
    </row>
    <row r="111" spans="1:8" x14ac:dyDescent="0.25">
      <c r="A111">
        <v>45</v>
      </c>
      <c r="B111" t="str">
        <f>IFERROR(INDEX('Abstracts List'!$B:$B,MATCH($A111,'Abstracts List'!$A:$A,0)),"")</f>
        <v>Time Aggregation in Presence of Multiple Variable Energy Resources</v>
      </c>
      <c r="C111">
        <v>14</v>
      </c>
      <c r="D111" t="str">
        <f>INDEX('Question context'!$D$2:$D$49,MATCH($C111,'Question context'!$C$2:$C$49,0))</f>
        <v>How can bulk-level services provided by DER be valued as a compromise between simplicity and, for example, a complex full cost-reflective approach?</v>
      </c>
      <c r="E111">
        <f>CHOOSE(N(INDEX('Question context'!$E$2:$Y$49,MATCH($C111,'Question context'!$C$2:$C$49,0),MATCH($A111,'Question context'!$E$1:$Y$1,0)))+1,10,30,50,70,90,110)</f>
        <v>30</v>
      </c>
      <c r="F111" t="str">
        <f t="shared" si="13"/>
        <v>Low</v>
      </c>
      <c r="H111" t="s">
        <v>575</v>
      </c>
    </row>
    <row r="112" spans="1:8" x14ac:dyDescent="0.25">
      <c r="A112">
        <v>45</v>
      </c>
      <c r="B112" t="str">
        <f>IFERROR(INDEX('Abstracts List'!$B:$B,MATCH($A112,'Abstracts List'!$A:$A,0)),"")</f>
        <v>Time Aggregation in Presence of Multiple Variable Energy Resources</v>
      </c>
      <c r="C112">
        <v>15</v>
      </c>
      <c r="D112" t="str">
        <f>INDEX('Question context'!$D$2:$D$49,MATCH($C112,'Question context'!$C$2:$C$49,0))</f>
        <v>What aggregate quantities must be monitored, screened, and validated to ensure reliable service provision from different DER categories and at what
temporal and/or spatial resolution must these processes occur?</v>
      </c>
      <c r="E112">
        <f>CHOOSE(N(INDEX('Question context'!$E$2:$Y$49,MATCH($C112,'Question context'!$C$2:$C$49,0),MATCH($A112,'Question context'!$E$1:$Y$1,0)))+1,10,30,50,70,90,110)</f>
        <v>50</v>
      </c>
      <c r="F112" t="str">
        <f t="shared" si="13"/>
        <v>Moderate</v>
      </c>
      <c r="H112" t="s">
        <v>575</v>
      </c>
    </row>
    <row r="113" spans="1:8" x14ac:dyDescent="0.25">
      <c r="A113">
        <v>45</v>
      </c>
      <c r="B113" t="str">
        <f>IFERROR(INDEX('Abstracts List'!$B:$B,MATCH($A113,'Abstracts List'!$A:$A,0)),"")</f>
        <v>Time Aggregation in Presence of Multiple Variable Energy Resources</v>
      </c>
      <c r="C113">
        <v>21</v>
      </c>
      <c r="D113" t="str">
        <f>INDEX('Question context'!$D$2:$D$49,MATCH($C113,'Question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113">
        <f>CHOOSE(N(INDEX('Question context'!$E$2:$Y$49,MATCH($C113,'Question context'!$C$2:$C$49,0),MATCH($A113,'Question context'!$E$1:$Y$1,0)))+1,10,30,50,70,90,110)</f>
        <v>50</v>
      </c>
      <c r="F113" t="str">
        <f t="shared" si="13"/>
        <v>Moderate</v>
      </c>
      <c r="H113" t="s">
        <v>575</v>
      </c>
    </row>
    <row r="114" spans="1:8" x14ac:dyDescent="0.25">
      <c r="A114">
        <v>45</v>
      </c>
      <c r="B114" t="str">
        <f>IFERROR(INDEX('Abstracts List'!$B:$B,MATCH($A114,'Abstracts List'!$A:$A,0)),"")</f>
        <v>Time Aggregation in Presence of Multiple Variable Energy Resources</v>
      </c>
      <c r="C114">
        <v>28</v>
      </c>
      <c r="D114" t="str">
        <f>INDEX('Question context'!$D$2:$D$49,MATCH($C114,'Question context'!$C$2:$C$49,0))</f>
        <v>What system services are needed across different timescales and to the extent that services coexist within the same timescale, how should these services be designed to avoid competition and overlap? </v>
      </c>
      <c r="E114">
        <f>CHOOSE(N(INDEX('Question context'!$E$2:$Y$49,MATCH($C114,'Question context'!$C$2:$C$49,0),MATCH($A114,'Question context'!$E$1:$Y$1,0)))+1,10,30,50,70,90,110)</f>
        <v>30</v>
      </c>
      <c r="F114" t="str">
        <f t="shared" si="13"/>
        <v>Low</v>
      </c>
      <c r="H114" t="s">
        <v>575</v>
      </c>
    </row>
    <row r="115" spans="1:8" x14ac:dyDescent="0.25">
      <c r="A115">
        <v>45</v>
      </c>
      <c r="B115" t="str">
        <f>IFERROR(INDEX('Abstracts List'!$B:$B,MATCH($A115,'Abstracts List'!$A:$A,0)),"")</f>
        <v>Time Aggregation in Presence of Multiple Variable Energy Resources</v>
      </c>
      <c r="C115">
        <v>29</v>
      </c>
      <c r="D115" t="str">
        <f>INDEX('Question context'!$D$2:$D$49,MATCH($C115,'Question context'!$C$2:$C$49,0))</f>
        <v>What are the needs of a power system expressed in technologically neutral form and how do these needs map to services that any resource (including data centers, other IBRs, DERs, high-voltage direct current links, etc.) can provide? </v>
      </c>
      <c r="E115">
        <f>CHOOSE(N(INDEX('Question context'!$E$2:$Y$49,MATCH($C115,'Question context'!$C$2:$C$49,0),MATCH($A115,'Question context'!$E$1:$Y$1,0)))+1,10,30,50,70,90,110)</f>
        <v>30</v>
      </c>
      <c r="F115" t="str">
        <f t="shared" si="13"/>
        <v>Low</v>
      </c>
      <c r="H115" t="s">
        <v>575</v>
      </c>
    </row>
    <row r="116" spans="1:8" x14ac:dyDescent="0.25">
      <c r="A116">
        <v>45</v>
      </c>
      <c r="B116" t="str">
        <f>IFERROR(INDEX('Abstracts List'!$B:$B,MATCH($A116,'Abstracts List'!$A:$A,0)),"")</f>
        <v>Time Aggregation in Presence of Multiple Variable Energy Resources</v>
      </c>
      <c r="C116">
        <v>35</v>
      </c>
      <c r="D116" t="str">
        <f>INDEX('Question context'!$D$2:$D$49,MATCH($C116,'Question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116">
        <f>CHOOSE(N(INDEX('Question context'!$E$2:$Y$49,MATCH($C116,'Question context'!$C$2:$C$49,0),MATCH($A116,'Question context'!$E$1:$Y$1,0)))+1,10,30,50,70,90,110)</f>
        <v>30</v>
      </c>
      <c r="F116" t="str">
        <f t="shared" si="13"/>
        <v>Low</v>
      </c>
      <c r="H116" t="s">
        <v>575</v>
      </c>
    </row>
    <row r="117" spans="1:8" x14ac:dyDescent="0.25">
      <c r="A117">
        <v>45</v>
      </c>
      <c r="B117" t="str">
        <f>IFERROR(INDEX('Abstracts List'!$B:$B,MATCH($A117,'Abstracts List'!$A:$A,0)),"")</f>
        <v>Time Aggregation in Presence of Multiple Variable Energy Resources</v>
      </c>
      <c r="C117">
        <v>39</v>
      </c>
      <c r="D117" t="str">
        <f>INDEX('Question context'!$D$2:$D$49,MATCH($C117,'Question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117">
        <f>CHOOSE(N(INDEX('Question context'!$E$2:$Y$49,MATCH($C117,'Question context'!$C$2:$C$49,0),MATCH($A117,'Question context'!$E$1:$Y$1,0)))+1,10,30,50,70,90,110)</f>
        <v>50</v>
      </c>
      <c r="F117" t="str">
        <f t="shared" si="13"/>
        <v>Moderate</v>
      </c>
      <c r="H117" t="s">
        <v>575</v>
      </c>
    </row>
    <row r="118" spans="1:8" x14ac:dyDescent="0.25">
      <c r="A118">
        <v>45</v>
      </c>
      <c r="B118" t="str">
        <f>IFERROR(INDEX('Abstracts List'!$B:$B,MATCH($A118,'Abstracts List'!$A:$A,0)),"")</f>
        <v>Time Aggregation in Presence of Multiple Variable Energy Resources</v>
      </c>
      <c r="C118">
        <v>40</v>
      </c>
      <c r="D118" t="str">
        <f>INDEX('Question context'!$D$2:$D$49,MATCH($C118,'Question context'!$C$2:$C$49,0))</f>
        <v>What studies and metrics are required to evaluate resource adequacy with hybrid plants (e.g., photovoltaics-plus-storage) and virtual power plants? </v>
      </c>
      <c r="E118">
        <f>CHOOSE(N(INDEX('Question context'!$E$2:$Y$49,MATCH($C118,'Question context'!$C$2:$C$49,0),MATCH($A118,'Question context'!$E$1:$Y$1,0)))+1,10,30,50,70,90,110)</f>
        <v>30</v>
      </c>
      <c r="F118" t="str">
        <f t="shared" si="13"/>
        <v>Low</v>
      </c>
      <c r="H118" t="s">
        <v>575</v>
      </c>
    </row>
    <row r="119" spans="1:8" x14ac:dyDescent="0.25">
      <c r="A119">
        <v>45</v>
      </c>
      <c r="B119" t="str">
        <f>IFERROR(INDEX('Abstracts List'!$B:$B,MATCH($A119,'Abstracts List'!$A:$A,0)),"")</f>
        <v>Time Aggregation in Presence of Multiple Variable Energy Resources</v>
      </c>
      <c r="C119">
        <v>41</v>
      </c>
      <c r="D119" t="str">
        <f>INDEX('Question context'!$D$2:$D$49,MATCH($C119,'Question context'!$C$2:$C$49,0))</f>
        <v>What additional probabilistic planning methods and tools are necessary for planning a power system with a high share of IBRs and in particular, variable renewable energy resources? </v>
      </c>
      <c r="E119">
        <f>CHOOSE(N(INDEX('Question context'!$E$2:$Y$49,MATCH($C119,'Question context'!$C$2:$C$49,0),MATCH($A119,'Question context'!$E$1:$Y$1,0)))+1,10,30,50,70,90,110)</f>
        <v>50</v>
      </c>
      <c r="F119" t="str">
        <f t="shared" si="13"/>
        <v>Moderate</v>
      </c>
      <c r="H119" t="s">
        <v>575</v>
      </c>
    </row>
    <row r="120" spans="1:8" x14ac:dyDescent="0.25">
      <c r="A120">
        <v>185</v>
      </c>
      <c r="B120" t="str">
        <f>IFERROR(INDEX('Abstracts List'!$B:$B,MATCH($A120,'Abstracts List'!$A:$A,0)),"")</f>
        <v>Practical Methods of Defective Input Feature Correction to Enable Machine Learning in Power Systems</v>
      </c>
      <c r="C120">
        <v>19</v>
      </c>
      <c r="D120" t="str">
        <f>INDEX('Question context'!$D$2:$D$49,MATCH($C120,'Question context'!$C$2:$C$49,0))</f>
        <v>How can the capabilities of grid-enhancing technologies (such as FACTS,SPS, RAS, DLR, PFC, WAMPAC) be integrated into the operational decision-making process?</v>
      </c>
      <c r="E120">
        <v>0</v>
      </c>
      <c r="F120" t="s">
        <v>96</v>
      </c>
      <c r="H120" t="s">
        <v>575</v>
      </c>
    </row>
    <row r="121" spans="1:8" x14ac:dyDescent="0.25">
      <c r="A121">
        <v>185</v>
      </c>
      <c r="B121" t="str">
        <f>IFERROR(INDEX('Abstracts List'!$B:$B,MATCH($A121,'Abstracts List'!$A:$A,0)),"")</f>
        <v>Practical Methods of Defective Input Feature Correction to Enable Machine Learning in Power Systems</v>
      </c>
      <c r="C121">
        <v>20</v>
      </c>
      <c r="D121" t="str">
        <f>INDEX('Question context'!$D$2:$D$49,MATCH($C121,'Question context'!$C$2:$C$49,0))</f>
        <v>How can grid topology be flexibly adapted to be reliably integrated into the operational decision-making process with outage scheduling, transfer limit increase, and post contingency remedial actions?</v>
      </c>
      <c r="E121">
        <v>0</v>
      </c>
      <c r="F121" t="s">
        <v>96</v>
      </c>
      <c r="H121" t="s">
        <v>575</v>
      </c>
    </row>
    <row r="122" spans="1:8" x14ac:dyDescent="0.25">
      <c r="A122">
        <v>185</v>
      </c>
      <c r="B122" t="str">
        <f>IFERROR(INDEX('Abstracts List'!$B:$B,MATCH($A122,'Abstracts List'!$A:$A,0)),"")</f>
        <v>Practical Methods of Defective Input Feature Correction to Enable Machine Learning in Power Systems</v>
      </c>
      <c r="C122">
        <v>21</v>
      </c>
      <c r="D122" t="str">
        <f>INDEX('Question context'!$D$2:$D$49,MATCH($C122,'Question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122">
        <v>0</v>
      </c>
      <c r="F122" t="s">
        <v>96</v>
      </c>
      <c r="H122" t="s">
        <v>575</v>
      </c>
    </row>
    <row r="123" spans="1:8" x14ac:dyDescent="0.25">
      <c r="A123">
        <v>185</v>
      </c>
      <c r="B123" t="str">
        <f>IFERROR(INDEX('Abstracts List'!$B:$B,MATCH($A123,'Abstracts List'!$A:$A,0)),"")</f>
        <v>Practical Methods of Defective Input Feature Correction to Enable Machine Learning in Power Systems</v>
      </c>
      <c r="C123">
        <v>22</v>
      </c>
      <c r="D123" t="str">
        <f>INDEX('Question context'!$D$2:$D$49,MATCH($C123,'Question context'!$C$2:$C$49,0))</f>
        <v>What type of digital architecture is best placed to enable modularity and the variety of software required to operate a control room in real time, near-real time, and in auto pilot mode?</v>
      </c>
      <c r="E123">
        <v>0</v>
      </c>
      <c r="F123" t="s">
        <v>96</v>
      </c>
      <c r="H123" t="s">
        <v>575</v>
      </c>
    </row>
    <row r="124" spans="1:8" x14ac:dyDescent="0.25">
      <c r="A124">
        <v>185</v>
      </c>
      <c r="B124" t="str">
        <f>IFERROR(INDEX('Abstracts List'!$B:$B,MATCH($A124,'Abstracts List'!$A:$A,0)),"")</f>
        <v>Practical Methods of Defective Input Feature Correction to Enable Machine Learning in Power Systems</v>
      </c>
      <c r="C124">
        <v>23</v>
      </c>
      <c r="D124" t="str">
        <f>INDEX('Question context'!$D$2:$D$49,MATCH($C124,'Question context'!$C$2:$C$49,0))</f>
        <v>What is the best way to integrate large datasets, streaming information, and historical system performance to create actionable operational insights in an increasingly complex environment with multiple phenomena occurring within overlapping timescales?</v>
      </c>
      <c r="E124">
        <v>0</v>
      </c>
      <c r="F124" t="s">
        <v>96</v>
      </c>
      <c r="H124" t="s">
        <v>575</v>
      </c>
    </row>
    <row r="125" spans="1:8" x14ac:dyDescent="0.25">
      <c r="A125">
        <v>185</v>
      </c>
      <c r="B125" t="str">
        <f>IFERROR(INDEX('Abstracts List'!$B:$B,MATCH($A125,'Abstracts List'!$A:$A,0)),"")</f>
        <v>Practical Methods of Defective Input Feature Correction to Enable Machine Learning in Power Systems</v>
      </c>
      <c r="C125">
        <v>24</v>
      </c>
      <c r="D125" t="str">
        <f>INDEX('Question context'!$D$2:$D$49,MATCH($C125,'Question context'!$C$2:$C$49,0))</f>
        <v>How can the risk of high-impact low-probability events (weather-related and otherwise) be incorporated into security assessments in real time and operations planning?</v>
      </c>
      <c r="E125">
        <v>0</v>
      </c>
      <c r="F125" t="s">
        <v>96</v>
      </c>
      <c r="H125" t="s">
        <v>575</v>
      </c>
    </row>
    <row r="126" spans="1:8" x14ac:dyDescent="0.25">
      <c r="A126">
        <v>185</v>
      </c>
      <c r="B126" t="str">
        <f>IFERROR(INDEX('Abstracts List'!$B:$B,MATCH($A126,'Abstracts List'!$A:$A,0)),"")</f>
        <v>Practical Methods of Defective Input Feature Correction to Enable Machine Learning in Power Systems</v>
      </c>
      <c r="C126">
        <v>25</v>
      </c>
      <c r="D126" t="str">
        <f>INDEX('Question context'!$D$2:$D$49,MATCH($C126,'Question context'!$C$2:$C$49,0))</f>
        <v>What metrics and their definitions (system strength, inertia, or others) need to be appropriately monitored or calculated to assess system dynamic behavior in real time, and what monitoring capabilities are necessary to support these assessments?</v>
      </c>
      <c r="E126">
        <v>0</v>
      </c>
      <c r="F126" t="s">
        <v>96</v>
      </c>
      <c r="H126" t="s">
        <v>575</v>
      </c>
    </row>
    <row r="127" spans="1:8" x14ac:dyDescent="0.25">
      <c r="A127">
        <v>185</v>
      </c>
      <c r="B127" t="str">
        <f>IFERROR(INDEX('Abstracts List'!$B:$B,MATCH($A127,'Abstracts List'!$A:$A,0)),"")</f>
        <v>Practical Methods of Defective Input Feature Correction to Enable Machine Learning in Power Systems</v>
      </c>
      <c r="C127">
        <v>26</v>
      </c>
      <c r="D127" t="str">
        <f>INDEX('Question context'!$D$2:$D$49,MATCH($C127,'Question context'!$C$2:$C$49,0))</f>
        <v>What improvements can be made to predictive tools and visualization methodologies in operational applications within the control room to support decision-making in real-time operations?</v>
      </c>
      <c r="E127">
        <v>0</v>
      </c>
      <c r="F127" t="s">
        <v>96</v>
      </c>
      <c r="H127" t="s">
        <v>575</v>
      </c>
    </row>
    <row r="128" spans="1:8" x14ac:dyDescent="0.25">
      <c r="A128">
        <v>280</v>
      </c>
      <c r="B128" t="str">
        <f>IFERROR(INDEX('Abstracts List'!$B:$B,MATCH($A128,'Abstracts List'!$A:$A,0)),"")</f>
        <v>Cyber-Physical Attack Launched From EVSE Botnet</v>
      </c>
      <c r="C128">
        <v>15</v>
      </c>
      <c r="D128" t="str">
        <f>INDEX('Question context'!$D$2:$D$49,MATCH($C128,'Question context'!$C$2:$C$49,0))</f>
        <v>What aggregate quantities must be monitored, screened, and validated to ensure reliable service provision from different DER categories and at what
temporal and/or spatial resolution must these processes occur?</v>
      </c>
      <c r="E128">
        <v>0</v>
      </c>
      <c r="F128" t="s">
        <v>96</v>
      </c>
      <c r="H128" t="s">
        <v>575</v>
      </c>
    </row>
    <row r="129" spans="1:8" x14ac:dyDescent="0.25">
      <c r="A129">
        <v>280</v>
      </c>
      <c r="B129" t="str">
        <f>IFERROR(INDEX('Abstracts List'!$B:$B,MATCH($A129,'Abstracts List'!$A:$A,0)),"")</f>
        <v>Cyber-Physical Attack Launched From EVSE Botnet</v>
      </c>
      <c r="C129">
        <v>16</v>
      </c>
      <c r="D129" t="str">
        <f>INDEX('Question context'!$D$2:$D$49,MATCH($C129,'Question context'!$C$2:$C$49,0))</f>
        <v>What is the communication capability needed to support monitoring and coordination of DER in terms of reliability, latency, bandwidth and (cyber) security?</v>
      </c>
      <c r="E129">
        <v>0</v>
      </c>
      <c r="F129" t="s">
        <v>96</v>
      </c>
      <c r="H129" t="s">
        <v>575</v>
      </c>
    </row>
    <row r="130" spans="1:8" x14ac:dyDescent="0.25">
      <c r="A130">
        <v>280</v>
      </c>
      <c r="B130" t="str">
        <f>IFERROR(INDEX('Abstracts List'!$B:$B,MATCH($A130,'Abstracts List'!$A:$A,0)),"")</f>
        <v>Cyber-Physical Attack Launched From EVSE Botnet</v>
      </c>
      <c r="C130">
        <v>17</v>
      </c>
      <c r="D130" t="str">
        <f>INDEX('Question context'!$D$2:$D$49,MATCH($C130,'Question context'!$C$2:$C$49,0))</f>
        <v>What is a scalable data architecture for DER monitoring, modelling, and coordination in real-time that would be suitable for the control room?</v>
      </c>
      <c r="E130">
        <v>0</v>
      </c>
      <c r="F130" t="s">
        <v>96</v>
      </c>
      <c r="H130" t="s">
        <v>575</v>
      </c>
    </row>
    <row r="131" spans="1:8" x14ac:dyDescent="0.25">
      <c r="A131">
        <v>280</v>
      </c>
      <c r="B131" t="str">
        <f>IFERROR(INDEX('Abstracts List'!$B:$B,MATCH($A131,'Abstracts List'!$A:$A,0)),"")</f>
        <v>Cyber-Physical Attack Launched From EVSE Botnet</v>
      </c>
      <c r="C131">
        <v>18</v>
      </c>
      <c r="D131" t="str">
        <f>INDEX('Question context'!$D$2:$D$49,MATCH($C131,'Question context'!$C$2:$C$49,0))</f>
        <v>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v>
      </c>
      <c r="E131">
        <v>0</v>
      </c>
      <c r="F131" t="s">
        <v>96</v>
      </c>
      <c r="H131" t="s">
        <v>575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54DB-1499-47F2-AB5D-F2262792B2A9}">
  <dimension ref="A1:I49"/>
  <sheetViews>
    <sheetView topLeftCell="B1" workbookViewId="0">
      <pane ySplit="1" topLeftCell="A2" activePane="bottomLeft" state="frozen"/>
      <selection pane="bottomLeft" activeCell="I2" sqref="I2"/>
    </sheetView>
  </sheetViews>
  <sheetFormatPr defaultRowHeight="15" outlineLevelCol="1" x14ac:dyDescent="0.25"/>
  <cols>
    <col min="1" max="1" width="13.140625" bestFit="1" customWidth="1"/>
    <col min="2" max="2" width="58.140625" customWidth="1"/>
    <col min="3" max="3" width="12.7109375" bestFit="1" customWidth="1"/>
    <col min="4" max="4" width="18.42578125" bestFit="1" customWidth="1"/>
    <col min="5" max="5" width="20.5703125" bestFit="1" customWidth="1"/>
    <col min="6" max="6" width="29.28515625" bestFit="1" customWidth="1"/>
    <col min="7" max="7" width="21.140625" bestFit="1" customWidth="1"/>
    <col min="8" max="9" width="8.7109375" outlineLevel="1"/>
  </cols>
  <sheetData>
    <row r="1" spans="1:9" x14ac:dyDescent="0.25">
      <c r="A1" s="25" t="s">
        <v>580</v>
      </c>
      <c r="B1" s="25" t="s">
        <v>1</v>
      </c>
      <c r="C1" s="25" t="s">
        <v>5</v>
      </c>
      <c r="D1" s="25" t="s">
        <v>581</v>
      </c>
      <c r="E1" s="25" t="s">
        <v>582</v>
      </c>
      <c r="F1" s="25" t="s">
        <v>583</v>
      </c>
      <c r="G1" s="25" t="s">
        <v>584</v>
      </c>
      <c r="H1" s="25" t="s">
        <v>585</v>
      </c>
      <c r="I1" s="25" t="s">
        <v>586</v>
      </c>
    </row>
    <row r="2" spans="1:9" x14ac:dyDescent="0.25">
      <c r="A2" s="26" cm="1">
        <f t="array" ref="A2">INDEX('Batch 1'!$B:$B,27*(ROW()-1)-26)</f>
        <v>1</v>
      </c>
      <c r="B2" s="26" t="str" cm="1">
        <f t="array" ref="B2">INDEX('Batch 1'!$B:$B,27*(ROW()-1)-25)</f>
        <v>Scenario Reduction Network Based on Wasserstein Distance With Regularization</v>
      </c>
      <c r="C2" s="26" t="str" cm="1">
        <f t="array" ref="C2">INDEX('Batch 1'!$B:$B,27*(ROW()-1)-23)</f>
        <v>Planning</v>
      </c>
      <c r="D2" s="27">
        <f>IF(COUNT(INDEX('Question context'!$E$2:$Y$49,0,MATCH($A2,'Question context'!$E$1:$Y$1,0)))=0,"",MAX(INDEX('Question context'!$E$2:$Y$49,0,MATCH($A2,'Question context'!$E$1:$Y$1,0))))</f>
        <v>3</v>
      </c>
      <c r="E2" s="27" t="str">
        <f>IF(D2="","N/A",IF(D2&lt;=1,"Low",IF(D2&lt;=3,"Medium","High")))</f>
        <v>Medium</v>
      </c>
      <c r="F2" s="27" t="str">
        <f>IFERROR(INDEX($I$2:$I$49,MATCH(D2,INDEX('Question context'!$E$2:$Y$49,0,MATCH($A2,'Question context'!$E$1:$Y$1,0)),0)),"N/A")</f>
        <v>Planning</v>
      </c>
      <c r="G2" s="26" t="str">
        <f>IFERROR(IF(INDEX('Abstracts List'!$D:$D,MATCH($A2,'Abstracts List'!$A:$A,0))="","N/A",INDEX('Abstracts List'!$D:$D,MATCH($A2,'Abstracts List'!$A:$A,0))),"N/A")</f>
        <v>Planning</v>
      </c>
      <c r="H2" s="26">
        <f>'Question context'!C2</f>
        <v>1</v>
      </c>
      <c r="I2" s="26" t="str">
        <f>'Question context'!A2</f>
        <v>IBR</v>
      </c>
    </row>
    <row r="3" spans="1:9" x14ac:dyDescent="0.25">
      <c r="A3" s="26" cm="1">
        <f t="array" ref="A3">INDEX('Batch 1'!$B:$B,27*(ROW()-1)-26)</f>
        <v>103</v>
      </c>
      <c r="B3" s="26" t="str" cm="1">
        <f t="array" ref="B3">INDEX('Batch 1'!$B:$B,27*(ROW()-1)-25)</f>
        <v>Characteristic Investigation and Overvoltage Suppression of MMC-HVDC Integrated Offshore Wind Farms Under Onshore Valve-Side SPG Fault</v>
      </c>
      <c r="C3" s="26" t="str" cm="1">
        <f t="array" ref="C3">INDEX('Batch 1'!$B:$B,27*(ROW()-1)-23)</f>
        <v>Other</v>
      </c>
      <c r="D3" s="27">
        <f>IF(COUNT(INDEX('Question context'!$E$2:$Y$49,0,MATCH($A3,'Question context'!$E$1:$Y$1,0)))=0,"",MAX(INDEX('Question context'!$E$2:$Y$49,0,MATCH($A3,'Question context'!$E$1:$Y$1,0))))</f>
        <v>3</v>
      </c>
      <c r="E3" s="27" t="str">
        <f t="shared" ref="E3:E22" si="0">IF(D3="","N/A",IF(D3&lt;=1,"Low",IF(D3&lt;=3,"Medium","High")))</f>
        <v>Medium</v>
      </c>
      <c r="F3" s="27" t="str">
        <f>IFERROR(INDEX($I$2:$I$49,MATCH(D3,INDEX('Question context'!$E$2:$Y$49,0,MATCH($A3,'Question context'!$E$1:$Y$1,0)),0)),"N/A")</f>
        <v>IBR</v>
      </c>
      <c r="G3" s="26" t="str">
        <f>IFERROR(IF(INDEX('Abstracts List'!$D:$D,MATCH($A3,'Abstracts List'!$A:$A,0))="","N/A",INDEX('Abstracts List'!$D:$D,MATCH($A3,'Abstracts List'!$A:$A,0))),"N/A")</f>
        <v>Stability</v>
      </c>
      <c r="H3" s="26">
        <f>'Question context'!C3</f>
        <v>2</v>
      </c>
      <c r="I3" s="27" t="str">
        <f>IF('Question context'!A3&lt;&gt;"",'Question context'!A3,I2)</f>
        <v>IBR</v>
      </c>
    </row>
    <row r="4" spans="1:9" x14ac:dyDescent="0.25">
      <c r="A4" s="26" cm="1">
        <f t="array" ref="A4">INDEX('Batch 1'!$B:$B,27*(ROW()-1)-26)</f>
        <v>115</v>
      </c>
      <c r="B4" s="26" t="str" cm="1">
        <f t="array" ref="B4">INDEX('Batch 1'!$B:$B,27*(ROW()-1)-25)</f>
        <v>Adaptive Stability Contingency Screening for Operational Planning Based on Domain-Adversarial Graph Neural Network</v>
      </c>
      <c r="C4" s="26" t="str" cm="1">
        <f t="array" ref="C4">INDEX('Batch 1'!$B:$B,27*(ROW()-1)-23)</f>
        <v>Other</v>
      </c>
      <c r="D4" s="27">
        <f>IF(COUNT(INDEX('Question context'!$E$2:$Y$49,0,MATCH($A4,'Question context'!$E$1:$Y$1,0)))=0,"",MAX(INDEX('Question context'!$E$2:$Y$49,0,MATCH($A4,'Question context'!$E$1:$Y$1,0))))</f>
        <v>3</v>
      </c>
      <c r="E4" s="27" t="str">
        <f t="shared" si="0"/>
        <v>Medium</v>
      </c>
      <c r="F4" s="27" t="str">
        <f>IFERROR(INDEX($I$2:$I$49,MATCH(D4,INDEX('Question context'!$E$2:$Y$49,0,MATCH($A4,'Question context'!$E$1:$Y$1,0)),0)),"N/A")</f>
        <v>CROF</v>
      </c>
      <c r="G4" s="26" t="str">
        <f>IFERROR(IF(INDEX('Abstracts List'!$D:$D,MATCH($A4,'Abstracts List'!$A:$A,0))="","N/A",INDEX('Abstracts List'!$D:$D,MATCH($A4,'Abstracts List'!$A:$A,0))),"N/A")</f>
        <v>Stability</v>
      </c>
      <c r="H4" s="26">
        <f>'Question context'!C4</f>
        <v>3</v>
      </c>
      <c r="I4" s="27" t="str">
        <f>IF('Question context'!A4&lt;&gt;"",'Question context'!A4,I3)</f>
        <v>IBR</v>
      </c>
    </row>
    <row r="5" spans="1:9" x14ac:dyDescent="0.25">
      <c r="A5" s="26" cm="1">
        <f t="array" ref="A5">INDEX('Batch 1'!$B:$B,27*(ROW()-1)-26)</f>
        <v>81</v>
      </c>
      <c r="B5" s="26" t="str" cm="1">
        <f t="array" ref="B5">INDEX('Batch 1'!$B:$B,27*(ROW()-1)-25)</f>
        <v>Virtual Prosumers P2P Transaction Based Distribution Network Expansion Planning</v>
      </c>
      <c r="C5" s="26" t="str" cm="1">
        <f t="array" ref="C5">INDEX('Batch 1'!$B:$B,27*(ROW()-1)-23)</f>
        <v>Other</v>
      </c>
      <c r="D5" s="27">
        <f>IF(COUNT(INDEX('Question context'!$E$2:$Y$49,0,MATCH($A5,'Question context'!$E$1:$Y$1,0)))=0,"",MAX(INDEX('Question context'!$E$2:$Y$49,0,MATCH($A5,'Question context'!$E$1:$Y$1,0))))</f>
        <v>3</v>
      </c>
      <c r="E5" s="27" t="str">
        <f t="shared" si="0"/>
        <v>Medium</v>
      </c>
      <c r="F5" s="27" t="str">
        <f>IFERROR(INDEX($I$2:$I$49,MATCH(D5,INDEX('Question context'!$E$2:$Y$49,0,MATCH($A5,'Question context'!$E$1:$Y$1,0)),0)),"N/A")</f>
        <v>DER System Services</v>
      </c>
      <c r="G5" s="26" t="str">
        <f>IFERROR(IF(INDEX('Abstracts List'!$D:$D,MATCH($A5,'Abstracts List'!$A:$A,0))="","N/A",INDEX('Abstracts List'!$D:$D,MATCH($A5,'Abstracts List'!$A:$A,0))),"N/A")</f>
        <v>DER_System_Services</v>
      </c>
      <c r="H5" s="26">
        <f>'Question context'!C5</f>
        <v>4</v>
      </c>
      <c r="I5" s="27" t="str">
        <f>IF('Question context'!A5&lt;&gt;"",'Question context'!A5,I4)</f>
        <v>IBR</v>
      </c>
    </row>
    <row r="6" spans="1:9" x14ac:dyDescent="0.25">
      <c r="A6" s="26" cm="1">
        <f t="array" ref="A6">INDEX('Batch 1'!$B:$B,27*(ROW()-1)-26)</f>
        <v>134</v>
      </c>
      <c r="B6" s="26" t="str" cm="1">
        <f t="array" ref="B6">INDEX('Batch 1'!$B:$B,27*(ROW()-1)-25)</f>
        <v>High-Dimensional Feature Selection for Power System Congestion Event Prognosis With Enhanced Evolutionary Computation</v>
      </c>
      <c r="C6" s="26" t="str" cm="1">
        <f t="array" ref="C6">INDEX('Batch 1'!$B:$B,27*(ROW()-1)-23)</f>
        <v>Other</v>
      </c>
      <c r="D6" s="27">
        <f>IF(COUNT(INDEX('Question context'!$E$2:$Y$49,0,MATCH($A6,'Question context'!$E$1:$Y$1,0)))=0,"",MAX(INDEX('Question context'!$E$2:$Y$49,0,MATCH($A6,'Question context'!$E$1:$Y$1,0))))</f>
        <v>2</v>
      </c>
      <c r="E6" s="27" t="str">
        <f t="shared" si="0"/>
        <v>Medium</v>
      </c>
      <c r="F6" s="27" t="str">
        <f>IFERROR(INDEX($I$2:$I$49,MATCH(D6,INDEX('Question context'!$E$2:$Y$49,0,MATCH($A6,'Question context'!$E$1:$Y$1,0)),0)),"N/A")</f>
        <v>CROF</v>
      </c>
      <c r="G6" s="26" t="str">
        <f>IFERROR(IF(INDEX('Abstracts List'!$D:$D,MATCH($A6,'Abstracts List'!$A:$A,0))="","N/A",INDEX('Abstracts List'!$D:$D,MATCH($A6,'Abstracts List'!$A:$A,0))),"N/A")</f>
        <v>CROF</v>
      </c>
      <c r="H6" s="26">
        <f>'Question context'!C6</f>
        <v>5</v>
      </c>
      <c r="I6" s="27" t="str">
        <f>IF('Question context'!A6&lt;&gt;"",'Question context'!A6,I5)</f>
        <v>IBR</v>
      </c>
    </row>
    <row r="7" spans="1:9" x14ac:dyDescent="0.25">
      <c r="A7" s="26" cm="1">
        <f t="array" ref="A7">INDEX('Batch 1'!$B:$B,27*(ROW()-1)-26)</f>
        <v>71</v>
      </c>
      <c r="B7" s="26" t="str" cm="1">
        <f t="array" ref="B7">INDEX('Batch 1'!$B:$B,27*(ROW()-1)-25)</f>
        <v>Electromechanical Transient Modeling of the Low-Frequency AC System With Modular Multilevel Matrix Converter Stations</v>
      </c>
      <c r="C7" s="26" t="str" cm="1">
        <f t="array" ref="C7">INDEX('Batch 1'!$B:$B,27*(ROW()-1)-23)</f>
        <v>Other</v>
      </c>
      <c r="D7" s="27">
        <f>IF(COUNT(INDEX('Question context'!$E$2:$Y$49,0,MATCH($A7,'Question context'!$E$1:$Y$1,0)))=0,"",MAX(INDEX('Question context'!$E$2:$Y$49,0,MATCH($A7,'Question context'!$E$1:$Y$1,0))))</f>
        <v>3</v>
      </c>
      <c r="E7" s="27" t="str">
        <f t="shared" si="0"/>
        <v>Medium</v>
      </c>
      <c r="F7" s="27" t="str">
        <f>IFERROR(INDEX($I$2:$I$49,MATCH(D7,INDEX('Question context'!$E$2:$Y$49,0,MATCH($A7,'Question context'!$E$1:$Y$1,0)),0)),"N/A")</f>
        <v>Stability</v>
      </c>
      <c r="G7" s="26" t="str">
        <f>IFERROR(IF(INDEX('Abstracts List'!$D:$D,MATCH($A7,'Abstracts List'!$A:$A,0))="","N/A",INDEX('Abstracts List'!$D:$D,MATCH($A7,'Abstracts List'!$A:$A,0))),"N/A")</f>
        <v>Stability</v>
      </c>
      <c r="H7" s="26">
        <f>'Question context'!C7</f>
        <v>6</v>
      </c>
      <c r="I7" s="27" t="str">
        <f>IF('Question context'!A7&lt;&gt;"",'Question context'!A7,I6)</f>
        <v>IBR</v>
      </c>
    </row>
    <row r="8" spans="1:9" x14ac:dyDescent="0.25">
      <c r="A8" s="26" cm="1">
        <f t="array" ref="A8">INDEX('Batch 1'!$B:$B,27*(ROW()-1)-26)</f>
        <v>146</v>
      </c>
      <c r="B8" s="26" t="str" cm="1">
        <f t="array" ref="B8">INDEX('Batch 1'!$B:$B,27*(ROW()-1)-25)</f>
        <v>Automatic Generation of Topology Diagrams for Strongly-Meshed Power Transmission Systems</v>
      </c>
      <c r="C8" s="26" t="str" cm="1">
        <f t="array" ref="C8">INDEX('Batch 1'!$B:$B,27*(ROW()-1)-23)</f>
        <v>Other</v>
      </c>
      <c r="D8" s="27">
        <f>IF(COUNT(INDEX('Question context'!$E$2:$Y$49,0,MATCH($A8,'Question context'!$E$1:$Y$1,0)))=0,"",MAX(INDEX('Question context'!$E$2:$Y$49,0,MATCH($A8,'Question context'!$E$1:$Y$1,0))))</f>
        <v>4</v>
      </c>
      <c r="E8" s="27" t="str">
        <f t="shared" si="0"/>
        <v>High</v>
      </c>
      <c r="F8" s="27" t="str">
        <f>IFERROR(INDEX($I$2:$I$49,MATCH(D8,INDEX('Question context'!$E$2:$Y$49,0,MATCH($A8,'Question context'!$E$1:$Y$1,0)),0)),"N/A")</f>
        <v>CROF</v>
      </c>
      <c r="G8" s="26" t="str">
        <f>IFERROR(IF(INDEX('Abstracts List'!$D:$D,MATCH($A8,'Abstracts List'!$A:$A,0))="","N/A",INDEX('Abstracts List'!$D:$D,MATCH($A8,'Abstracts List'!$A:$A,0))),"N/A")</f>
        <v>CROF</v>
      </c>
      <c r="H8" s="26">
        <f>'Question context'!C8</f>
        <v>7</v>
      </c>
      <c r="I8" s="27" t="str">
        <f>IF('Question context'!A8&lt;&gt;"",'Question context'!A8,I7)</f>
        <v>Stability</v>
      </c>
    </row>
    <row r="9" spans="1:9" x14ac:dyDescent="0.25">
      <c r="A9" s="26" cm="1">
        <f t="array" ref="A9">INDEX('Batch 1'!$B:$B,27*(ROW()-1)-26)</f>
        <v>65</v>
      </c>
      <c r="B9" s="26" t="str" cm="1">
        <f t="array" ref="B9">INDEX('Batch 1'!$B:$B,27*(ROW()-1)-25)</f>
        <v>Cooperative Hierarchical Control of Isolated Microgrids Considering Energy Storage System Aggregation</v>
      </c>
      <c r="C9" s="26" t="str" cm="1">
        <f t="array" ref="C9">INDEX('Batch 1'!$B:$B,27*(ROW()-1)-23)</f>
        <v>Other</v>
      </c>
      <c r="D9" s="27">
        <f>IF(COUNT(INDEX('Question context'!$E$2:$Y$49,0,MATCH($A9,'Question context'!$E$1:$Y$1,0)))=0,"",MAX(INDEX('Question context'!$E$2:$Y$49,0,MATCH($A9,'Question context'!$E$1:$Y$1,0))))</f>
        <v>3</v>
      </c>
      <c r="E9" s="27" t="str">
        <f t="shared" si="0"/>
        <v>Medium</v>
      </c>
      <c r="F9" s="27" t="str">
        <f>IFERROR(INDEX($I$2:$I$49,MATCH(D9,INDEX('Question context'!$E$2:$Y$49,0,MATCH($A9,'Question context'!$E$1:$Y$1,0)),0)),"N/A")</f>
        <v>DER C&amp;C</v>
      </c>
      <c r="G9" s="26" t="str">
        <f>IFERROR(IF(INDEX('Abstracts List'!$D:$D,MATCH($A9,'Abstracts List'!$A:$A,0))="","N/A",INDEX('Abstracts List'!$D:$D,MATCH($A9,'Abstracts List'!$A:$A,0))),"N/A")</f>
        <v>System_Services</v>
      </c>
      <c r="H9" s="26">
        <f>'Question context'!C9</f>
        <v>8</v>
      </c>
      <c r="I9" s="27" t="str">
        <f>IF('Question context'!A9&lt;&gt;"",'Question context'!A9,I8)</f>
        <v>Stability</v>
      </c>
    </row>
    <row r="10" spans="1:9" x14ac:dyDescent="0.25">
      <c r="A10" s="26" cm="1">
        <f t="array" ref="A10">INDEX('Batch 1'!$B:$B,27*(ROW()-1)-26)</f>
        <v>281</v>
      </c>
      <c r="B10" s="26" t="str" cm="1">
        <f t="array" ref="B10">INDEX('Batch 1'!$B:$B,27*(ROW()-1)-25)</f>
        <v>Minimum Energy Demands of Energy Storages for Fast Frequency Response: Formulation, Solution, and Implementation</v>
      </c>
      <c r="C10" s="26" t="str" cm="1">
        <f t="array" ref="C10">INDEX('Batch 1'!$B:$B,27*(ROW()-1)-23)</f>
        <v>Other</v>
      </c>
      <c r="D10" s="27">
        <f>IF(COUNT(INDEX('Question context'!$E$2:$Y$49,0,MATCH($A10,'Question context'!$E$1:$Y$1,0)))=0,"",MAX(INDEX('Question context'!$E$2:$Y$49,0,MATCH($A10,'Question context'!$E$1:$Y$1,0))))</f>
        <v>3</v>
      </c>
      <c r="E10" s="27" t="str">
        <f t="shared" si="0"/>
        <v>Medium</v>
      </c>
      <c r="F10" s="27" t="str">
        <f>IFERROR(INDEX($I$2:$I$49,MATCH(D10,INDEX('Question context'!$E$2:$Y$49,0,MATCH($A10,'Question context'!$E$1:$Y$1,0)),0)),"N/A")</f>
        <v>System Services</v>
      </c>
      <c r="G10" s="26" t="str">
        <f>IFERROR(IF(INDEX('Abstracts List'!$D:$D,MATCH($A10,'Abstracts List'!$A:$A,0))="","N/A",INDEX('Abstracts List'!$D:$D,MATCH($A10,'Abstracts List'!$A:$A,0))),"N/A")</f>
        <v>IBR</v>
      </c>
      <c r="H10" s="26">
        <f>'Question context'!C10</f>
        <v>9</v>
      </c>
      <c r="I10" s="27" t="str">
        <f>IF('Question context'!A10&lt;&gt;"",'Question context'!A10,I9)</f>
        <v>Stability</v>
      </c>
    </row>
    <row r="11" spans="1:9" x14ac:dyDescent="0.25">
      <c r="A11" s="26" cm="1">
        <f t="array" ref="A11">INDEX('Batch 1'!$B:$B,27*(ROW()-1)-26)</f>
        <v>241</v>
      </c>
      <c r="B11" s="26" t="str" cm="1">
        <f t="array" ref="B11">INDEX('Batch 1'!$B:$B,27*(ROW()-1)-25)</f>
        <v>Adaptive Weighted Combination Approach for Wind Power Forecast Based on Deep Deterministic Policy Gradient Method</v>
      </c>
      <c r="C11" s="26" t="str" cm="1">
        <f t="array" ref="C11">INDEX('Batch 1'!$B:$B,27*(ROW()-1)-23)</f>
        <v>Other</v>
      </c>
      <c r="D11" s="27">
        <f>IF(COUNT(INDEX('Question context'!$E$2:$Y$49,0,MATCH($A11,'Question context'!$E$1:$Y$1,0)))=0,"",MAX(INDEX('Question context'!$E$2:$Y$49,0,MATCH($A11,'Question context'!$E$1:$Y$1,0))))</f>
        <v>1</v>
      </c>
      <c r="E11" s="27" t="str">
        <f t="shared" si="0"/>
        <v>Low</v>
      </c>
      <c r="F11" s="27" t="str">
        <f>IFERROR(INDEX($I$2:$I$49,MATCH(D11,INDEX('Question context'!$E$2:$Y$49,0,MATCH($A11,'Question context'!$E$1:$Y$1,0)),0)),"N/A")</f>
        <v>CROF</v>
      </c>
      <c r="G11" s="26" t="str">
        <f>IFERROR(IF(INDEX('Abstracts List'!$D:$D,MATCH($A11,'Abstracts List'!$A:$A,0))="","N/A",INDEX('Abstracts List'!$D:$D,MATCH($A11,'Abstracts List'!$A:$A,0))),"N/A")</f>
        <v>Planning</v>
      </c>
      <c r="H11" s="26">
        <f>'Question context'!C11</f>
        <v>10</v>
      </c>
      <c r="I11" s="27" t="str">
        <f>IF('Question context'!A11&lt;&gt;"",'Question context'!A11,I10)</f>
        <v>Stability</v>
      </c>
    </row>
    <row r="12" spans="1:9" x14ac:dyDescent="0.25">
      <c r="A12" s="26" cm="1">
        <f t="array" ref="A12">INDEX('Batch 1'!$B:$B,27*(ROW()-1)-26)</f>
        <v>94</v>
      </c>
      <c r="B12" s="26" t="str" cm="1">
        <f t="array" ref="B12">INDEX('Batch 1'!$B:$B,27*(ROW()-1)-25)</f>
        <v>An AC-Feasible Linear Model in Distribution Networks With Energy Storage</v>
      </c>
      <c r="C12" s="26" t="str" cm="1">
        <f t="array" ref="C12">INDEX('Batch 1'!$B:$B,27*(ROW()-1)-23)</f>
        <v>Other</v>
      </c>
      <c r="D12" s="27">
        <f>IF(COUNT(INDEX('Question context'!$E$2:$Y$49,0,MATCH($A12,'Question context'!$E$1:$Y$1,0)))=0,"",MAX(INDEX('Question context'!$E$2:$Y$49,0,MATCH($A12,'Question context'!$E$1:$Y$1,0))))</f>
        <v>2</v>
      </c>
      <c r="E12" s="27" t="str">
        <f t="shared" si="0"/>
        <v>Medium</v>
      </c>
      <c r="F12" s="27" t="str">
        <f>IFERROR(INDEX($I$2:$I$49,MATCH(D12,INDEX('Question context'!$E$2:$Y$49,0,MATCH($A12,'Question context'!$E$1:$Y$1,0)),0)),"N/A")</f>
        <v>DER C&amp;C</v>
      </c>
      <c r="G12" s="26" t="str">
        <f>IFERROR(IF(INDEX('Abstracts List'!$D:$D,MATCH($A12,'Abstracts List'!$A:$A,0))="","N/A",INDEX('Abstracts List'!$D:$D,MATCH($A12,'Abstracts List'!$A:$A,0))),"N/A")</f>
        <v>DER_System_Services</v>
      </c>
      <c r="H12" s="26">
        <f>'Question context'!C12</f>
        <v>11</v>
      </c>
      <c r="I12" s="27" t="str">
        <f>IF('Question context'!A12&lt;&gt;"",'Question context'!A12,I11)</f>
        <v>Stability</v>
      </c>
    </row>
    <row r="13" spans="1:9" x14ac:dyDescent="0.25">
      <c r="A13" s="26" cm="1">
        <f t="array" ref="A13">INDEX('Batch 1'!$B:$B,27*(ROW()-1)-26)</f>
        <v>44</v>
      </c>
      <c r="B13" s="26" t="str" cm="1">
        <f t="array" ref="B13">INDEX('Batch 1'!$B:$B,27*(ROW()-1)-25)</f>
        <v>Hierarchical Control Strategy for Effective Virtual Frequency Responses of Multiple WPPs</v>
      </c>
      <c r="C13" s="26" t="str" cm="1">
        <f t="array" ref="C13">INDEX('Batch 1'!$B:$B,27*(ROW()-1)-23)</f>
        <v>Other</v>
      </c>
      <c r="D13" s="27">
        <f>IF(COUNT(INDEX('Question context'!$E$2:$Y$49,0,MATCH($A13,'Question context'!$E$1:$Y$1,0)))=0,"",MAX(INDEX('Question context'!$E$2:$Y$49,0,MATCH($A13,'Question context'!$E$1:$Y$1,0))))</f>
        <v>3</v>
      </c>
      <c r="E13" s="27" t="str">
        <f t="shared" si="0"/>
        <v>Medium</v>
      </c>
      <c r="F13" s="27" t="str">
        <f>IFERROR(INDEX($I$2:$I$49,MATCH(D13,INDEX('Question context'!$E$2:$Y$49,0,MATCH($A13,'Question context'!$E$1:$Y$1,0)),0)),"N/A")</f>
        <v>System Services</v>
      </c>
      <c r="G13" s="26" t="str">
        <f>IFERROR(IF(INDEX('Abstracts List'!$D:$D,MATCH($A13,'Abstracts List'!$A:$A,0))="","N/A",INDEX('Abstracts List'!$D:$D,MATCH($A13,'Abstracts List'!$A:$A,0))),"N/A")</f>
        <v>IBR</v>
      </c>
      <c r="H13" s="26">
        <f>'Question context'!C13</f>
        <v>12</v>
      </c>
      <c r="I13" s="27" t="str">
        <f>IF('Question context'!A13&lt;&gt;"",'Question context'!A13,I12)</f>
        <v>DER System Services</v>
      </c>
    </row>
    <row r="14" spans="1:9" x14ac:dyDescent="0.25">
      <c r="A14" s="26" cm="1">
        <f t="array" ref="A14">INDEX('Batch 1'!$B:$B,27*(ROW()-1)-26)</f>
        <v>185</v>
      </c>
      <c r="B14" s="26" t="str" cm="1">
        <f t="array" ref="B14">INDEX('Batch 1'!$B:$B,27*(ROW()-1)-25)</f>
        <v>Practical Methods of Defective Input Feature Correction to Enable Machine Learning in Power Systems</v>
      </c>
      <c r="C14" s="26" t="str" cm="1">
        <f t="array" ref="C14">INDEX('Batch 1'!$B:$B,27*(ROW()-1)-23)</f>
        <v>Other</v>
      </c>
      <c r="D14" s="27" t="str">
        <f>IF(COUNT(INDEX('Question context'!$E$2:$Y$49,0,MATCH($A14,'Question context'!$E$1:$Y$1,0)))=0,"",MAX(INDEX('Question context'!$E$2:$Y$49,0,MATCH($A14,'Question context'!$E$1:$Y$1,0))))</f>
        <v/>
      </c>
      <c r="E14" s="27" t="str">
        <f t="shared" si="0"/>
        <v>N/A</v>
      </c>
      <c r="F14" s="27" t="str">
        <f>IFERROR(INDEX($I$2:$I$49,MATCH(D14,INDEX('Question context'!$E$2:$Y$49,0,MATCH($A14,'Question context'!$E$1:$Y$1,0)),0)),"N/A")</f>
        <v>N/A</v>
      </c>
      <c r="G14" s="26" t="str">
        <f>IFERROR(IF(INDEX('Abstracts List'!$D:$D,MATCH($A14,'Abstracts List'!$A:$A,0))="","N/A",INDEX('Abstracts List'!$D:$D,MATCH($A14,'Abstracts List'!$A:$A,0))),"N/A")</f>
        <v>CROF</v>
      </c>
      <c r="H14" s="26">
        <f>'Question context'!C14</f>
        <v>13</v>
      </c>
      <c r="I14" s="27" t="str">
        <f>IF('Question context'!A14&lt;&gt;"",'Question context'!A14,I13)</f>
        <v>DER System Services</v>
      </c>
    </row>
    <row r="15" spans="1:9" x14ac:dyDescent="0.25">
      <c r="A15" s="26" cm="1">
        <f t="array" ref="A15">INDEX('Batch 1'!$B:$B,27*(ROW()-1)-26)</f>
        <v>174</v>
      </c>
      <c r="B15" s="26" t="str" cm="1">
        <f t="array" ref="B15">INDEX('Batch 1'!$B:$B,27*(ROW()-1)-25)</f>
        <v>Chance-Constrained Optimization Based PV Hosting Capacity Calculation Using General Polynomial Chaos</v>
      </c>
      <c r="C15" s="26" t="str" cm="1">
        <f t="array" ref="C15">INDEX('Batch 1'!$B:$B,27*(ROW()-1)-23)</f>
        <v>Other</v>
      </c>
      <c r="D15" s="27">
        <f>IF(COUNT(INDEX('Question context'!$E$2:$Y$49,0,MATCH($A15,'Question context'!$E$1:$Y$1,0)))=0,"",MAX(INDEX('Question context'!$E$2:$Y$49,0,MATCH($A15,'Question context'!$E$1:$Y$1,0))))</f>
        <v>2</v>
      </c>
      <c r="E15" s="27" t="str">
        <f t="shared" si="0"/>
        <v>Medium</v>
      </c>
      <c r="F15" s="27" t="str">
        <f>IFERROR(INDEX($I$2:$I$49,MATCH(D15,INDEX('Question context'!$E$2:$Y$49,0,MATCH($A15,'Question context'!$E$1:$Y$1,0)),0)),"N/A")</f>
        <v>Planning</v>
      </c>
      <c r="G15" s="26" t="str">
        <f>IFERROR(IF(INDEX('Abstracts List'!$D:$D,MATCH($A15,'Abstracts List'!$A:$A,0))="","N/A",INDEX('Abstracts List'!$D:$D,MATCH($A15,'Abstracts List'!$A:$A,0))),"N/A")</f>
        <v>Planning</v>
      </c>
      <c r="H15" s="26">
        <f>'Question context'!C15</f>
        <v>14</v>
      </c>
      <c r="I15" s="27" t="str">
        <f>IF('Question context'!A15&lt;&gt;"",'Question context'!A15,I14)</f>
        <v>DER System Services</v>
      </c>
    </row>
    <row r="16" spans="1:9" x14ac:dyDescent="0.25">
      <c r="A16" s="26" cm="1">
        <f t="array" ref="A16">INDEX('Batch 1'!$B:$B,27*(ROW()-1)-26)</f>
        <v>194</v>
      </c>
      <c r="B16" s="26" t="str" cm="1">
        <f t="array" ref="B16">INDEX('Batch 1'!$B:$B,27*(ROW()-1)-25)</f>
        <v>Analysis of Long-Term Indicators in the British Balancing Market</v>
      </c>
      <c r="C16" s="26" t="str" cm="1">
        <f t="array" ref="C16">INDEX('Batch 1'!$B:$B,27*(ROW()-1)-23)</f>
        <v>Other</v>
      </c>
      <c r="D16" s="27">
        <f>IF(COUNT(INDEX('Question context'!$E$2:$Y$49,0,MATCH($A16,'Question context'!$E$1:$Y$1,0)))=0,"",MAX(INDEX('Question context'!$E$2:$Y$49,0,MATCH($A16,'Question context'!$E$1:$Y$1,0))))</f>
        <v>1</v>
      </c>
      <c r="E16" s="27" t="str">
        <f t="shared" si="0"/>
        <v>Low</v>
      </c>
      <c r="F16" s="27" t="str">
        <f>IFERROR(INDEX($I$2:$I$49,MATCH(D16,INDEX('Question context'!$E$2:$Y$49,0,MATCH($A16,'Question context'!$E$1:$Y$1,0)),0)),"N/A")</f>
        <v>System Services</v>
      </c>
      <c r="G16" s="26" t="str">
        <f>IFERROR(IF(INDEX('Abstracts List'!$D:$D,MATCH($A16,'Abstracts List'!$A:$A,0))="","N/A",INDEX('Abstracts List'!$D:$D,MATCH($A16,'Abstracts List'!$A:$A,0))),"N/A")</f>
        <v>System_Services</v>
      </c>
      <c r="H16" s="26">
        <f>'Question context'!C16</f>
        <v>15</v>
      </c>
      <c r="I16" s="27" t="str">
        <f>IF('Question context'!A16&lt;&gt;"",'Question context'!A16,I15)</f>
        <v>DER C&amp;C</v>
      </c>
    </row>
    <row r="17" spans="1:9" x14ac:dyDescent="0.25">
      <c r="A17" s="26" cm="1">
        <f t="array" ref="A17">INDEX('Batch 1'!$B:$B,27*(ROW()-1)-26)</f>
        <v>212</v>
      </c>
      <c r="B17" s="26" t="str" cm="1">
        <f t="array" ref="B17">INDEX('Batch 1'!$B:$B,27*(ROW()-1)-25)</f>
        <v>Comparative Analysis of the Power Output Capabilities of Grid-Following and Grid-Forming Inverters Considering Static, Dynamic, and Thermal Limitations</v>
      </c>
      <c r="C17" s="26" t="str" cm="1">
        <f t="array" ref="C17">INDEX('Batch 1'!$B:$B,27*(ROW()-1)-23)</f>
        <v>Other</v>
      </c>
      <c r="D17" s="27">
        <f>IF(COUNT(INDEX('Question context'!$E$2:$Y$49,0,MATCH($A17,'Question context'!$E$1:$Y$1,0)))=0,"",MAX(INDEX('Question context'!$E$2:$Y$49,0,MATCH($A17,'Question context'!$E$1:$Y$1,0))))</f>
        <v>3</v>
      </c>
      <c r="E17" s="27" t="str">
        <f t="shared" si="0"/>
        <v>Medium</v>
      </c>
      <c r="F17" s="27" t="str">
        <f>IFERROR(INDEX($I$2:$I$49,MATCH(D17,INDEX('Question context'!$E$2:$Y$49,0,MATCH($A17,'Question context'!$E$1:$Y$1,0)),0)),"N/A")</f>
        <v>Stability</v>
      </c>
      <c r="G17" s="26" t="str">
        <f>IFERROR(IF(INDEX('Abstracts List'!$D:$D,MATCH($A17,'Abstracts List'!$A:$A,0))="","N/A",INDEX('Abstracts List'!$D:$D,MATCH($A17,'Abstracts List'!$A:$A,0))),"N/A")</f>
        <v>IBR</v>
      </c>
      <c r="H17" s="26">
        <f>'Question context'!C17</f>
        <v>16</v>
      </c>
      <c r="I17" s="27" t="str">
        <f>IF('Question context'!A17&lt;&gt;"",'Question context'!A17,I16)</f>
        <v>DER C&amp;C</v>
      </c>
    </row>
    <row r="18" spans="1:9" x14ac:dyDescent="0.25">
      <c r="A18" s="26" cm="1">
        <f t="array" ref="A18">INDEX('Batch 1'!$B:$B,27*(ROW()-1)-26)</f>
        <v>15</v>
      </c>
      <c r="B18" s="26" t="str" cm="1">
        <f t="array" ref="B18">INDEX('Batch 1'!$B:$B,27*(ROW()-1)-25)</f>
        <v>Look-Ahead Rolling Economic Dispatch Approach for Wind-Thermal-Bundled Power System Considering Dynamic Ramping and Flexible Load Transfer Strategy</v>
      </c>
      <c r="C18" s="26" t="str" cm="1">
        <f t="array" ref="C18">INDEX('Batch 1'!$B:$B,27*(ROW()-1)-23)</f>
        <v>Other</v>
      </c>
      <c r="D18" s="27">
        <f>IF(COUNT(INDEX('Question context'!$E$2:$Y$49,0,MATCH($A18,'Question context'!$E$1:$Y$1,0)))=0,"",MAX(INDEX('Question context'!$E$2:$Y$49,0,MATCH($A18,'Question context'!$E$1:$Y$1,0))))</f>
        <v>2</v>
      </c>
      <c r="E18" s="27" t="str">
        <f t="shared" si="0"/>
        <v>Medium</v>
      </c>
      <c r="F18" s="27" t="str">
        <f>IFERROR(INDEX($I$2:$I$49,MATCH(D18,INDEX('Question context'!$E$2:$Y$49,0,MATCH($A18,'Question context'!$E$1:$Y$1,0)),0)),"N/A")</f>
        <v>CROF</v>
      </c>
      <c r="G18" s="26" t="str">
        <f>IFERROR(IF(INDEX('Abstracts List'!$D:$D,MATCH($A18,'Abstracts List'!$A:$A,0))="","N/A",INDEX('Abstracts List'!$D:$D,MATCH($A18,'Abstracts List'!$A:$A,0))),"N/A")</f>
        <v>System_Services</v>
      </c>
      <c r="H18" s="26">
        <f>'Question context'!C18</f>
        <v>17</v>
      </c>
      <c r="I18" s="27" t="str">
        <f>IF('Question context'!A18&lt;&gt;"",'Question context'!A18,I17)</f>
        <v>DER C&amp;C</v>
      </c>
    </row>
    <row r="19" spans="1:9" x14ac:dyDescent="0.25">
      <c r="A19" s="26" cm="1">
        <f t="array" ref="A19">INDEX('Batch 1'!$B:$B,27*(ROW()-1)-26)</f>
        <v>231</v>
      </c>
      <c r="B19" s="26" t="str" cm="1">
        <f t="array" ref="B19">INDEX('Batch 1'!$B:$B,27*(ROW()-1)-25)</f>
        <v>Centralized Distributionally Robust Chance-Constrained Dispatch of Integrated Transmission-Distribution Systems</v>
      </c>
      <c r="C19" s="26" t="str" cm="1">
        <f t="array" ref="C19">INDEX('Batch 1'!$B:$B,27*(ROW()-1)-23)</f>
        <v>Other</v>
      </c>
      <c r="D19" s="27">
        <f>IF(COUNT(INDEX('Question context'!$E$2:$Y$49,0,MATCH($A19,'Question context'!$E$1:$Y$1,0)))=0,"",MAX(INDEX('Question context'!$E$2:$Y$49,0,MATCH($A19,'Question context'!$E$1:$Y$1,0))))</f>
        <v>3</v>
      </c>
      <c r="E19" s="27" t="str">
        <f t="shared" si="0"/>
        <v>Medium</v>
      </c>
      <c r="F19" s="27" t="str">
        <f>IFERROR(INDEX($I$2:$I$49,MATCH(D19,INDEX('Question context'!$E$2:$Y$49,0,MATCH($A19,'Question context'!$E$1:$Y$1,0)),0)),"N/A")</f>
        <v>DER System Services</v>
      </c>
      <c r="G19" s="26" t="str">
        <f>IFERROR(IF(INDEX('Abstracts List'!$D:$D,MATCH($A19,'Abstracts List'!$A:$A,0))="","N/A",INDEX('Abstracts List'!$D:$D,MATCH($A19,'Abstracts List'!$A:$A,0))),"N/A")</f>
        <v>DER_System_Services</v>
      </c>
      <c r="H19" s="26">
        <f>'Question context'!C19</f>
        <v>18</v>
      </c>
      <c r="I19" s="27" t="str">
        <f>IF('Question context'!A19&lt;&gt;"",'Question context'!A19,I18)</f>
        <v>DER C&amp;C</v>
      </c>
    </row>
    <row r="20" spans="1:9" x14ac:dyDescent="0.25">
      <c r="A20" s="26" cm="1">
        <f t="array" ref="A20">INDEX('Batch 1'!$B:$B,27*(ROW()-1)-26)</f>
        <v>228</v>
      </c>
      <c r="B20" s="26" t="str" cm="1">
        <f t="array" ref="B20">INDEX('Batch 1'!$B:$B,27*(ROW()-1)-25)</f>
        <v>Reduced Voltage-Dependency by Categorical Location Information and Distance Along Street Metric for Meter-Transformer Mapping in Distribution Systems</v>
      </c>
      <c r="C20" s="26" t="str" cm="1">
        <f t="array" ref="C20">INDEX('Batch 1'!$B:$B,27*(ROW()-1)-23)</f>
        <v>Other</v>
      </c>
      <c r="D20" s="27">
        <f>IF(COUNT(INDEX('Question context'!$E$2:$Y$49,0,MATCH($A20,'Question context'!$E$1:$Y$1,0)))=0,"",MAX(INDEX('Question context'!$E$2:$Y$49,0,MATCH($A20,'Question context'!$E$1:$Y$1,0))))</f>
        <v>1</v>
      </c>
      <c r="E20" s="27" t="str">
        <f t="shared" si="0"/>
        <v>Low</v>
      </c>
      <c r="F20" s="27" t="str">
        <f>IFERROR(INDEX($I$2:$I$49,MATCH(D20,INDEX('Question context'!$E$2:$Y$49,0,MATCH($A20,'Question context'!$E$1:$Y$1,0)),0)),"N/A")</f>
        <v>DER System Services</v>
      </c>
      <c r="G20" s="26" t="str">
        <f>IFERROR(IF(INDEX('Abstracts List'!$D:$D,MATCH($A20,'Abstracts List'!$A:$A,0))="","N/A",INDEX('Abstracts List'!$D:$D,MATCH($A20,'Abstracts List'!$A:$A,0))),"N/A")</f>
        <v>DER_CC</v>
      </c>
      <c r="H20" s="26">
        <f>'Question context'!C20</f>
        <v>19</v>
      </c>
      <c r="I20" s="27" t="str">
        <f>IF('Question context'!A20&lt;&gt;"",'Question context'!A20,I19)</f>
        <v>CROF</v>
      </c>
    </row>
    <row r="21" spans="1:9" x14ac:dyDescent="0.25">
      <c r="A21" s="26" cm="1">
        <f t="array" ref="A21">INDEX('Batch 1'!$B:$B,27*(ROW()-1)-26)</f>
        <v>45</v>
      </c>
      <c r="B21" s="26" t="str" cm="1">
        <f t="array" ref="B21">INDEX('Batch 1'!$B:$B,27*(ROW()-1)-25)</f>
        <v>Time Aggregation in Presence of Multiple Variable Energy Resources</v>
      </c>
      <c r="C21" s="26" t="str" cm="1">
        <f t="array" ref="C21">INDEX('Batch 1'!$B:$B,27*(ROW()-1)-23)</f>
        <v>Other</v>
      </c>
      <c r="D21" s="27">
        <f>IF(COUNT(INDEX('Question context'!$E$2:$Y$49,0,MATCH($A21,'Question context'!$E$1:$Y$1,0)))=0,"",MAX(INDEX('Question context'!$E$2:$Y$49,0,MATCH($A21,'Question context'!$E$1:$Y$1,0))))</f>
        <v>2</v>
      </c>
      <c r="E21" s="27" t="str">
        <f t="shared" si="0"/>
        <v>Medium</v>
      </c>
      <c r="F21" s="27" t="str">
        <f>IFERROR(INDEX($I$2:$I$49,MATCH(D21,INDEX('Question context'!$E$2:$Y$49,0,MATCH($A21,'Question context'!$E$1:$Y$1,0)),0)),"N/A")</f>
        <v>DER C&amp;C</v>
      </c>
      <c r="G21" s="26" t="str">
        <f>IFERROR(IF(INDEX('Abstracts List'!$D:$D,MATCH($A21,'Abstracts List'!$A:$A,0))="","N/A",INDEX('Abstracts List'!$D:$D,MATCH($A21,'Abstracts List'!$A:$A,0))),"N/A")</f>
        <v>DER_CC</v>
      </c>
      <c r="H21" s="26">
        <f>'Question context'!C21</f>
        <v>20</v>
      </c>
      <c r="I21" s="27" t="str">
        <f>IF('Question context'!A21&lt;&gt;"",'Question context'!A21,I20)</f>
        <v>CROF</v>
      </c>
    </row>
    <row r="22" spans="1:9" x14ac:dyDescent="0.25">
      <c r="A22" s="26" cm="1">
        <f t="array" ref="A22">INDEX('Batch 1'!$B:$B,27*(ROW()-1)-26)</f>
        <v>280</v>
      </c>
      <c r="B22" s="26" t="str" cm="1">
        <f t="array" ref="B22">INDEX('Batch 1'!$B:$B,27*(ROW()-1)-25)</f>
        <v>Cyber-Physical Attack Launched From EVSE Botnet</v>
      </c>
      <c r="C22" s="26" t="str" cm="1">
        <f t="array" ref="C22">INDEX('Batch 1'!$B:$B,27*(ROW()-1)-23)</f>
        <v>Other</v>
      </c>
      <c r="D22" s="27" t="str">
        <f>IF(COUNT(INDEX('Question context'!$E$2:$Y$49,0,MATCH($A22,'Question context'!$E$1:$Y$1,0)))=0,"",MAX(INDEX('Question context'!$E$2:$Y$49,0,MATCH($A22,'Question context'!$E$1:$Y$1,0))))</f>
        <v/>
      </c>
      <c r="E22" s="27" t="str">
        <f t="shared" si="0"/>
        <v>N/A</v>
      </c>
      <c r="F22" s="27" t="str">
        <f>IFERROR(INDEX($I$2:$I$49,MATCH(D22,INDEX('Question context'!$E$2:$Y$49,0,MATCH($A22,'Question context'!$E$1:$Y$1,0)),0)),"N/A")</f>
        <v>N/A</v>
      </c>
      <c r="G22" s="26" t="str">
        <f>IFERROR(IF(INDEX('Abstracts List'!$D:$D,MATCH($A22,'Abstracts List'!$A:$A,0))="","N/A",INDEX('Abstracts List'!$D:$D,MATCH($A22,'Abstracts List'!$A:$A,0))),"N/A")</f>
        <v>DER_CC</v>
      </c>
      <c r="H22" s="26">
        <f>'Question context'!C22</f>
        <v>21</v>
      </c>
      <c r="I22" s="27" t="str">
        <f>IF('Question context'!A22&lt;&gt;"",'Question context'!A22,I21)</f>
        <v>CROF</v>
      </c>
    </row>
    <row r="23" spans="1:9" x14ac:dyDescent="0.25">
      <c r="H23" s="26">
        <f>'Question context'!C23</f>
        <v>22</v>
      </c>
      <c r="I23" s="27" t="str">
        <f>IF('Question context'!A23&lt;&gt;"",'Question context'!A23,I22)</f>
        <v>CROF</v>
      </c>
    </row>
    <row r="24" spans="1:9" x14ac:dyDescent="0.25">
      <c r="H24" s="26">
        <f>'Question context'!C24</f>
        <v>23</v>
      </c>
      <c r="I24" s="27" t="str">
        <f>IF('Question context'!A24&lt;&gt;"",'Question context'!A24,I23)</f>
        <v>CROF</v>
      </c>
    </row>
    <row r="25" spans="1:9" x14ac:dyDescent="0.25">
      <c r="H25" s="26">
        <f>'Question context'!C25</f>
        <v>24</v>
      </c>
      <c r="I25" s="27" t="str">
        <f>IF('Question context'!A25&lt;&gt;"",'Question context'!A25,I24)</f>
        <v>CROF</v>
      </c>
    </row>
    <row r="26" spans="1:9" x14ac:dyDescent="0.25">
      <c r="E26" s="27" t="s">
        <v>11</v>
      </c>
      <c r="F26">
        <f t="shared" ref="F26:F33" si="1">COUNTIF($F$2:$F$22,E26)</f>
        <v>2</v>
      </c>
      <c r="G26">
        <f t="shared" ref="G26:G33" si="2">COUNTIF($G$1:$G$21,E26)</f>
        <v>3</v>
      </c>
      <c r="H26" s="26">
        <f>'Question context'!C26</f>
        <v>25</v>
      </c>
      <c r="I26" s="27" t="str">
        <f>IF('Question context'!A26&lt;&gt;"",'Question context'!A26,I25)</f>
        <v>CROF</v>
      </c>
    </row>
    <row r="27" spans="1:9" x14ac:dyDescent="0.25">
      <c r="E27" s="27" t="s">
        <v>16</v>
      </c>
      <c r="F27">
        <f t="shared" si="1"/>
        <v>1</v>
      </c>
      <c r="G27">
        <f t="shared" si="2"/>
        <v>3</v>
      </c>
      <c r="H27" s="26">
        <f>'Question context'!C27</f>
        <v>26</v>
      </c>
      <c r="I27" s="27" t="str">
        <f>IF('Question context'!A27&lt;&gt;"",'Question context'!A27,I26)</f>
        <v>CROF</v>
      </c>
    </row>
    <row r="28" spans="1:9" x14ac:dyDescent="0.25">
      <c r="E28" s="27" t="s">
        <v>45</v>
      </c>
      <c r="F28">
        <f t="shared" si="1"/>
        <v>5</v>
      </c>
      <c r="G28">
        <f t="shared" si="2"/>
        <v>3</v>
      </c>
      <c r="H28" s="26">
        <f>'Question context'!C28</f>
        <v>27</v>
      </c>
      <c r="I28" s="27" t="str">
        <f>IF('Question context'!A28&lt;&gt;"",'Question context'!A28,I27)</f>
        <v>CROF</v>
      </c>
    </row>
    <row r="29" spans="1:9" x14ac:dyDescent="0.25">
      <c r="E29" s="27" t="s">
        <v>33</v>
      </c>
      <c r="F29">
        <f t="shared" si="1"/>
        <v>3</v>
      </c>
      <c r="G29">
        <f t="shared" si="2"/>
        <v>0</v>
      </c>
      <c r="H29" s="26">
        <f>'Question context'!C29</f>
        <v>28</v>
      </c>
      <c r="I29" s="27" t="str">
        <f>IF('Question context'!A29&lt;&gt;"",'Question context'!A29,I28)</f>
        <v>System Services</v>
      </c>
    </row>
    <row r="30" spans="1:9" x14ac:dyDescent="0.25">
      <c r="E30" s="27" t="s">
        <v>25</v>
      </c>
      <c r="F30">
        <f t="shared" si="1"/>
        <v>2</v>
      </c>
      <c r="G30">
        <f t="shared" si="2"/>
        <v>3</v>
      </c>
      <c r="H30" s="26">
        <f>'Question context'!C30</f>
        <v>29</v>
      </c>
      <c r="I30" s="27" t="str">
        <f>IF('Question context'!A30&lt;&gt;"",'Question context'!A30,I29)</f>
        <v>System Services</v>
      </c>
    </row>
    <row r="31" spans="1:9" x14ac:dyDescent="0.25">
      <c r="E31" s="27" t="s">
        <v>38</v>
      </c>
      <c r="F31">
        <f t="shared" si="1"/>
        <v>3</v>
      </c>
      <c r="G31">
        <f t="shared" si="2"/>
        <v>0</v>
      </c>
      <c r="H31" s="26">
        <f>'Question context'!C31</f>
        <v>30</v>
      </c>
      <c r="I31" s="27" t="str">
        <f>IF('Question context'!A31&lt;&gt;"",'Question context'!A31,I30)</f>
        <v>System Services</v>
      </c>
    </row>
    <row r="32" spans="1:9" x14ac:dyDescent="0.25">
      <c r="E32" s="27" t="s">
        <v>60</v>
      </c>
      <c r="F32">
        <f t="shared" si="1"/>
        <v>3</v>
      </c>
      <c r="G32">
        <f t="shared" si="2"/>
        <v>0</v>
      </c>
      <c r="H32" s="26">
        <f>'Question context'!C32</f>
        <v>31</v>
      </c>
      <c r="I32" s="27" t="str">
        <f>IF('Question context'!A32&lt;&gt;"",'Question context'!A32,I31)</f>
        <v>System Services</v>
      </c>
    </row>
    <row r="33" spans="5:9" x14ac:dyDescent="0.25">
      <c r="E33" s="27" t="s">
        <v>587</v>
      </c>
      <c r="F33">
        <f t="shared" si="1"/>
        <v>2</v>
      </c>
      <c r="G33">
        <f t="shared" si="2"/>
        <v>0</v>
      </c>
      <c r="H33" s="26">
        <f>'Question context'!C33</f>
        <v>32</v>
      </c>
      <c r="I33" s="27" t="str">
        <f>IF('Question context'!A33&lt;&gt;"",'Question context'!A33,I32)</f>
        <v>System Services</v>
      </c>
    </row>
    <row r="34" spans="5:9" x14ac:dyDescent="0.25">
      <c r="H34" s="26">
        <f>'Question context'!C34</f>
        <v>33</v>
      </c>
      <c r="I34" s="27" t="str">
        <f>IF('Question context'!A34&lt;&gt;"",'Question context'!A34,I33)</f>
        <v>System Services</v>
      </c>
    </row>
    <row r="35" spans="5:9" x14ac:dyDescent="0.25">
      <c r="H35" s="26">
        <f>'Question context'!C35</f>
        <v>34</v>
      </c>
      <c r="I35" s="27" t="str">
        <f>IF('Question context'!A35&lt;&gt;"",'Question context'!A35,I34)</f>
        <v>System Services</v>
      </c>
    </row>
    <row r="36" spans="5:9" x14ac:dyDescent="0.25">
      <c r="H36" s="26">
        <f>'Question context'!C36</f>
        <v>35</v>
      </c>
      <c r="I36" s="27" t="str">
        <f>IF('Question context'!A36&lt;&gt;"",'Question context'!A36,I35)</f>
        <v>System Services</v>
      </c>
    </row>
    <row r="37" spans="5:9" x14ac:dyDescent="0.25">
      <c r="H37" s="26">
        <f>'Question context'!C37</f>
        <v>36</v>
      </c>
      <c r="I37" s="27" t="str">
        <f>IF('Question context'!A37&lt;&gt;"",'Question context'!A37,I36)</f>
        <v>System Services</v>
      </c>
    </row>
    <row r="38" spans="5:9" x14ac:dyDescent="0.25">
      <c r="H38" s="26">
        <f>'Question context'!C38</f>
        <v>37</v>
      </c>
      <c r="I38" s="27" t="str">
        <f>IF('Question context'!A38&lt;&gt;"",'Question context'!A38,I37)</f>
        <v>Planning</v>
      </c>
    </row>
    <row r="39" spans="5:9" x14ac:dyDescent="0.25">
      <c r="H39" s="26">
        <f>'Question context'!C39</f>
        <v>38</v>
      </c>
      <c r="I39" s="27" t="str">
        <f>IF('Question context'!A39&lt;&gt;"",'Question context'!A39,I38)</f>
        <v>Planning</v>
      </c>
    </row>
    <row r="40" spans="5:9" x14ac:dyDescent="0.25">
      <c r="H40" s="26">
        <f>'Question context'!C40</f>
        <v>39</v>
      </c>
      <c r="I40" s="27" t="str">
        <f>IF('Question context'!A40&lt;&gt;"",'Question context'!A40,I39)</f>
        <v>Planning</v>
      </c>
    </row>
    <row r="41" spans="5:9" x14ac:dyDescent="0.25">
      <c r="H41" s="26">
        <f>'Question context'!C41</f>
        <v>40</v>
      </c>
      <c r="I41" s="27" t="str">
        <f>IF('Question context'!A41&lt;&gt;"",'Question context'!A41,I40)</f>
        <v>Planning</v>
      </c>
    </row>
    <row r="42" spans="5:9" x14ac:dyDescent="0.25">
      <c r="H42" s="26">
        <f>'Question context'!C42</f>
        <v>41</v>
      </c>
      <c r="I42" s="27" t="str">
        <f>IF('Question context'!A42&lt;&gt;"",'Question context'!A42,I41)</f>
        <v>Planning</v>
      </c>
    </row>
    <row r="43" spans="5:9" x14ac:dyDescent="0.25">
      <c r="H43" s="26">
        <f>'Question context'!C43</f>
        <v>42</v>
      </c>
      <c r="I43" s="27" t="str">
        <f>IF('Question context'!A43&lt;&gt;"",'Question context'!A43,I42)</f>
        <v>Planning</v>
      </c>
    </row>
    <row r="44" spans="5:9" x14ac:dyDescent="0.25">
      <c r="H44" s="26">
        <f>'Question context'!C44</f>
        <v>43</v>
      </c>
      <c r="I44" s="27" t="str">
        <f>IF('Question context'!A44&lt;&gt;"",'Question context'!A44,I43)</f>
        <v>Planning</v>
      </c>
    </row>
    <row r="45" spans="5:9" x14ac:dyDescent="0.25">
      <c r="H45" s="26">
        <f>'Question context'!C45</f>
        <v>44</v>
      </c>
      <c r="I45" s="27" t="str">
        <f>IF('Question context'!A45&lt;&gt;"",'Question context'!A45,I44)</f>
        <v>Planning</v>
      </c>
    </row>
    <row r="46" spans="5:9" x14ac:dyDescent="0.25">
      <c r="H46" s="26">
        <f>'Question context'!C46</f>
        <v>45</v>
      </c>
      <c r="I46" s="27" t="str">
        <f>IF('Question context'!A46&lt;&gt;"",'Question context'!A46,I45)</f>
        <v>Planning</v>
      </c>
    </row>
    <row r="47" spans="5:9" x14ac:dyDescent="0.25">
      <c r="H47" s="26">
        <f>'Question context'!C47</f>
        <v>46</v>
      </c>
      <c r="I47" s="27" t="str">
        <f>IF('Question context'!A47&lt;&gt;"",'Question context'!A47,I46)</f>
        <v>Planning</v>
      </c>
    </row>
    <row r="48" spans="5:9" x14ac:dyDescent="0.25">
      <c r="H48" s="26">
        <f>'Question context'!C48</f>
        <v>47</v>
      </c>
      <c r="I48" s="27" t="str">
        <f>IF('Question context'!A48&lt;&gt;"",'Question context'!A48,I47)</f>
        <v>Planning</v>
      </c>
    </row>
    <row r="49" spans="8:9" x14ac:dyDescent="0.25">
      <c r="H49" s="26">
        <f>'Question context'!C49</f>
        <v>48</v>
      </c>
      <c r="I49" s="27" t="str">
        <f>IF('Question context'!A49&lt;&gt;"",'Question context'!A49,I48)</f>
        <v>Planning</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E4357-99BB-45E2-A728-AAA0F2C3983C}">
  <dimension ref="A1:H119"/>
  <sheetViews>
    <sheetView topLeftCell="D1" workbookViewId="0">
      <selection activeCell="H120" sqref="A120:H123"/>
    </sheetView>
  </sheetViews>
  <sheetFormatPr defaultRowHeight="15" x14ac:dyDescent="0.25"/>
  <cols>
    <col min="1" max="1" width="15.28515625" customWidth="1"/>
    <col min="2" max="2" width="19.140625" customWidth="1"/>
    <col min="3" max="3" width="13.28515625" customWidth="1"/>
    <col min="4" max="4" width="57.140625" customWidth="1"/>
    <col min="5" max="6" width="21" customWidth="1"/>
    <col min="7" max="7" width="41.85546875" customWidth="1"/>
    <col min="8" max="8" width="28.5703125" customWidth="1"/>
  </cols>
  <sheetData>
    <row r="1" spans="1:8" x14ac:dyDescent="0.25">
      <c r="A1" s="21" t="s">
        <v>0</v>
      </c>
      <c r="B1" s="21" t="s">
        <v>1</v>
      </c>
      <c r="C1" s="21" t="s">
        <v>87</v>
      </c>
      <c r="D1" s="21" t="s">
        <v>88</v>
      </c>
      <c r="E1" s="21" t="s">
        <v>571</v>
      </c>
      <c r="F1" s="21" t="s">
        <v>89</v>
      </c>
      <c r="G1" s="21" t="s">
        <v>572</v>
      </c>
      <c r="H1" s="21" t="s">
        <v>573</v>
      </c>
    </row>
    <row r="2" spans="1:8" x14ac:dyDescent="0.25">
      <c r="A2">
        <v>1</v>
      </c>
      <c r="B2" t="str">
        <f>IFERROR(INDEX('Abstracts List'!$B:$B,MATCH($A2,'Abstracts List'!$A:$A,0)),"")</f>
        <v>Scenario Reduction Network Based on Wasserstein Distance With Regularization</v>
      </c>
      <c r="C2">
        <v>23</v>
      </c>
      <c r="D2" t="str">
        <f>INDEX('Question context'!$D$2:$D$49,MATCH($C2,'Question context'!$C$2:$C$49,0))</f>
        <v>What is the best way to integrate large datasets, streaming information, and historical system performance to create actionable operational insights in an increasingly complex environment with multiple phenomena occurring within overlapping timescales?</v>
      </c>
      <c r="E2">
        <f>CHOOSE(N(INDEX('Question context'!$E$2:$Y$49,MATCH($C2,'Question context'!$C$2:$C$49,0),MATCH($A2,'Question context'!$E$1:$Y$1,0)))+1,10,30,50,60,80,90)</f>
        <v>30</v>
      </c>
      <c r="F2" t="str">
        <f t="shared" ref="F2:F65" si="0">IF(E2&gt;=70,"High",IF(E2&gt;=40,"Moderate","Low"))</f>
        <v>Low</v>
      </c>
      <c r="H2" t="s">
        <v>575</v>
      </c>
    </row>
    <row r="3" spans="1:8" x14ac:dyDescent="0.25">
      <c r="A3">
        <v>1</v>
      </c>
      <c r="B3" t="str">
        <f>IFERROR(INDEX('Abstracts List'!$B:$B,MATCH($A3,'Abstracts List'!$A:$A,0)),"")</f>
        <v>Scenario Reduction Network Based on Wasserstein Distance With Regularization</v>
      </c>
      <c r="C3">
        <v>24</v>
      </c>
      <c r="D3" t="str">
        <f>INDEX('Question context'!$D$2:$D$49,MATCH($C3,'Question context'!$C$2:$C$49,0))</f>
        <v>How can the risk of high-impact low-probability events (weather-related and otherwise) be incorporated into security assessments in real time and operations planning?</v>
      </c>
      <c r="E3">
        <f>CHOOSE(N(INDEX('Question context'!$E$2:$Y$49,MATCH($C3,'Question context'!$C$2:$C$49,0),MATCH($A3,'Question context'!$E$1:$Y$1,0)))+1,10,30,50,60,80,90)</f>
        <v>50</v>
      </c>
      <c r="F3" t="str">
        <f t="shared" si="0"/>
        <v>Moderate</v>
      </c>
      <c r="H3" t="s">
        <v>575</v>
      </c>
    </row>
    <row r="4" spans="1:8" x14ac:dyDescent="0.25">
      <c r="A4">
        <v>1</v>
      </c>
      <c r="B4" t="str">
        <f>IFERROR(INDEX('Abstracts List'!$B:$B,MATCH($A4,'Abstracts List'!$A:$A,0)),"")</f>
        <v>Scenario Reduction Network Based on Wasserstein Distance With Regularization</v>
      </c>
      <c r="C4">
        <v>27</v>
      </c>
      <c r="D4" t="str">
        <f>INDEX('Question context'!$D$2:$D$49,MATCH($C4,'Question context'!$C$2:$C$49,0))</f>
        <v>How can risk-based methods (e.g. probabilistic forecasting techniques) be better incorporated into operational decision-support tools and used consistently across multiple stages (e.g., real-time, day ahead, intraday planning)?</v>
      </c>
      <c r="E4">
        <f>CHOOSE(N(INDEX('Question context'!$E$2:$Y$49,MATCH($C4,'Question context'!$C$2:$C$49,0),MATCH($A4,'Question context'!$E$1:$Y$1,0)))+1,10,30,50,60,80,90)</f>
        <v>50</v>
      </c>
      <c r="F4" t="str">
        <f t="shared" si="0"/>
        <v>Moderate</v>
      </c>
      <c r="H4" t="s">
        <v>575</v>
      </c>
    </row>
    <row r="5" spans="1:8" x14ac:dyDescent="0.25">
      <c r="A5">
        <v>1</v>
      </c>
      <c r="B5" t="str">
        <f>IFERROR(INDEX('Abstracts List'!$B:$B,MATCH($A5,'Abstracts List'!$A:$A,0)),"")</f>
        <v>Scenario Reduction Network Based on Wasserstein Distance With Regularization</v>
      </c>
      <c r="C5">
        <v>35</v>
      </c>
      <c r="D5" t="str">
        <f>INDEX('Question context'!$D$2:$D$49,MATCH($C5,'Question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5">
        <f>CHOOSE(N(INDEX('Question context'!$E$2:$Y$49,MATCH($C5,'Question context'!$C$2:$C$49,0),MATCH($A5,'Question context'!$E$1:$Y$1,0)))+1,10,30,50,60,80,90)</f>
        <v>30</v>
      </c>
      <c r="F5" t="str">
        <f t="shared" si="0"/>
        <v>Low</v>
      </c>
      <c r="H5" t="s">
        <v>575</v>
      </c>
    </row>
    <row r="6" spans="1:8" x14ac:dyDescent="0.25">
      <c r="A6">
        <v>1</v>
      </c>
      <c r="B6" t="str">
        <f>IFERROR(INDEX('Abstracts List'!$B:$B,MATCH($A6,'Abstracts List'!$A:$A,0)),"")</f>
        <v>Scenario Reduction Network Based on Wasserstein Distance With Regularization</v>
      </c>
      <c r="C6">
        <v>37</v>
      </c>
      <c r="D6" t="str">
        <f>INDEX('Question context'!$D$2:$D$49,MATCH($C6,'Question context'!$C$2:$C$49,0))</f>
        <v>What studies and metrics are required to identify long-term scarcity of resources (capacity, energy, flexibility etc.) to maintain reliability?   </v>
      </c>
      <c r="E6">
        <f>CHOOSE(N(INDEX('Question context'!$E$2:$Y$49,MATCH($C6,'Question context'!$C$2:$C$49,0),MATCH($A6,'Question context'!$E$1:$Y$1,0)))+1,10,30,50,60,80,90)</f>
        <v>50</v>
      </c>
      <c r="F6" t="str">
        <f t="shared" si="0"/>
        <v>Moderate</v>
      </c>
      <c r="H6" t="s">
        <v>575</v>
      </c>
    </row>
    <row r="7" spans="1:8" x14ac:dyDescent="0.25">
      <c r="A7">
        <v>1</v>
      </c>
      <c r="B7" t="str">
        <f>IFERROR(INDEX('Abstracts List'!$B:$B,MATCH($A7,'Abstracts List'!$A:$A,0)),"")</f>
        <v>Scenario Reduction Network Based on Wasserstein Distance With Regularization</v>
      </c>
      <c r="C7">
        <v>39</v>
      </c>
      <c r="D7" t="str">
        <f>INDEX('Question context'!$D$2:$D$49,MATCH($C7,'Question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7">
        <f>CHOOSE(N(INDEX('Question context'!$E$2:$Y$49,MATCH($C7,'Question context'!$C$2:$C$49,0),MATCH($A7,'Question context'!$E$1:$Y$1,0)))+1,10,30,50,60,80,90)</f>
        <v>30</v>
      </c>
      <c r="F7" t="str">
        <f t="shared" si="0"/>
        <v>Low</v>
      </c>
      <c r="H7" t="s">
        <v>575</v>
      </c>
    </row>
    <row r="8" spans="1:8" x14ac:dyDescent="0.25">
      <c r="A8">
        <v>1</v>
      </c>
      <c r="B8" t="str">
        <f>IFERROR(INDEX('Abstracts List'!$B:$B,MATCH($A8,'Abstracts List'!$A:$A,0)),"")</f>
        <v>Scenario Reduction Network Based on Wasserstein Distance With Regularization</v>
      </c>
      <c r="C8">
        <v>41</v>
      </c>
      <c r="D8" t="str">
        <f>INDEX('Question context'!$D$2:$D$49,MATCH($C8,'Question context'!$C$2:$C$49,0))</f>
        <v>What additional probabilistic planning methods and tools are necessary for planning a power system with a high share of IBRs and in particular, variable renewable energy resources? </v>
      </c>
      <c r="E8">
        <f>CHOOSE(N(INDEX('Question context'!$E$2:$Y$49,MATCH($C8,'Question context'!$C$2:$C$49,0),MATCH($A8,'Question context'!$E$1:$Y$1,0)))+1,10,30,50,60,80,90)</f>
        <v>60</v>
      </c>
      <c r="F8" t="str">
        <f t="shared" si="0"/>
        <v>Moderate</v>
      </c>
      <c r="H8" t="s">
        <v>575</v>
      </c>
    </row>
    <row r="9" spans="1:8" x14ac:dyDescent="0.25">
      <c r="A9">
        <v>1</v>
      </c>
      <c r="B9" t="str">
        <f>IFERROR(INDEX('Abstracts List'!$B:$B,MATCH($A9,'Abstracts List'!$A:$A,0)),"")</f>
        <v>Scenario Reduction Network Based on Wasserstein Distance With Regularization</v>
      </c>
      <c r="C9">
        <v>42</v>
      </c>
      <c r="D9" t="str">
        <f>INDEX('Question context'!$D$2:$D$49,MATCH($C9,'Question context'!$C$2:$C$49,0))</f>
        <v>What additional planning models and methods are needed to plan for various levels of uncertainty and no-regrets investments in a paradigm of increasing electrification and growing IBR and DER penetrations? </v>
      </c>
      <c r="E9">
        <f>CHOOSE(N(INDEX('Question context'!$E$2:$Y$49,MATCH($C9,'Question context'!$C$2:$C$49,0),MATCH($A9,'Question context'!$E$1:$Y$1,0)))+1,10,30,50,60,80,90)</f>
        <v>50</v>
      </c>
      <c r="F9" t="str">
        <f t="shared" si="0"/>
        <v>Moderate</v>
      </c>
      <c r="H9" t="s">
        <v>575</v>
      </c>
    </row>
    <row r="10" spans="1:8" x14ac:dyDescent="0.25">
      <c r="A10">
        <v>1</v>
      </c>
      <c r="B10" t="str">
        <f>IFERROR(INDEX('Abstracts List'!$B:$B,MATCH($A10,'Abstracts List'!$A:$A,0)),"")</f>
        <v>Scenario Reduction Network Based on Wasserstein Distance With Regularization</v>
      </c>
      <c r="C10">
        <v>43</v>
      </c>
      <c r="D10" t="str">
        <f>INDEX('Question context'!$D$2:$D$49,MATCH($C10,'Question context'!$C$2:$C$49,0))</f>
        <v>What changes can be incorporated into the transmission planning process, especially inter-regional planning, to unlock multi-value system benefits and accommodate new drivers of uncertainty (e.g., large growth due to electrification or low growth due to increased use of DERs)? </v>
      </c>
      <c r="E10">
        <f>CHOOSE(N(INDEX('Question context'!$E$2:$Y$49,MATCH($C10,'Question context'!$C$2:$C$49,0),MATCH($A10,'Question context'!$E$1:$Y$1,0)))+1,10,30,50,60,80,90)</f>
        <v>50</v>
      </c>
      <c r="F10" t="str">
        <f t="shared" si="0"/>
        <v>Moderate</v>
      </c>
      <c r="H10" t="s">
        <v>575</v>
      </c>
    </row>
    <row r="11" spans="1:8" x14ac:dyDescent="0.25">
      <c r="A11">
        <v>1</v>
      </c>
      <c r="B11" t="str">
        <f>IFERROR(INDEX('Abstracts List'!$B:$B,MATCH($A11,'Abstracts List'!$A:$A,0)),"")</f>
        <v>Scenario Reduction Network Based on Wasserstein Distance With Regularization</v>
      </c>
      <c r="C11">
        <v>47</v>
      </c>
      <c r="D11" t="str">
        <f>INDEX('Question context'!$D$2:$D$49,MATCH($C11,'Question context'!$C$2:$C$49,0))</f>
        <v>How do system operators adequately account for the overall system impact of extreme events in planning studies, particularly those that impact the system with a high share of flexible resources in both supply and demand (wind, solar, demand-side flexibility)? </v>
      </c>
      <c r="E11">
        <f>CHOOSE(N(INDEX('Question context'!$E$2:$Y$49,MATCH($C11,'Question context'!$C$2:$C$49,0),MATCH($A11,'Question context'!$E$1:$Y$1,0)))+1,10,30,50,60,80,90)</f>
        <v>30</v>
      </c>
      <c r="F11" t="str">
        <f t="shared" si="0"/>
        <v>Low</v>
      </c>
      <c r="H11" t="s">
        <v>575</v>
      </c>
    </row>
    <row r="12" spans="1:8" x14ac:dyDescent="0.25">
      <c r="A12">
        <v>1</v>
      </c>
      <c r="B12" t="str">
        <f>IFERROR(INDEX('Abstracts List'!$B:$B,MATCH($A12,'Abstracts List'!$A:$A,0)),"")</f>
        <v>Scenario Reduction Network Based on Wasserstein Distance With Regularization</v>
      </c>
      <c r="C12">
        <v>48</v>
      </c>
      <c r="D12" t="str">
        <f>INDEX('Question context'!$D$2:$D$49,MATCH($C12,'Question context'!$C$2:$C$49,0))</f>
        <v>What additional planning models and methods are needed to plan for a system that can withstand expected or unexpected lulls (e.g., an extended wind drought, or a dunkelflaute)?  </v>
      </c>
      <c r="E12">
        <f>CHOOSE(N(INDEX('Question context'!$E$2:$Y$49,MATCH($C12,'Question context'!$C$2:$C$49,0),MATCH($A12,'Question context'!$E$1:$Y$1,0)))+1,10,30,50,60,80,90)</f>
        <v>50</v>
      </c>
      <c r="F12" t="str">
        <f t="shared" si="0"/>
        <v>Moderate</v>
      </c>
      <c r="H12" t="s">
        <v>575</v>
      </c>
    </row>
    <row r="13" spans="1:8" x14ac:dyDescent="0.25">
      <c r="A13">
        <v>103</v>
      </c>
      <c r="B13" t="str">
        <f>IFERROR(INDEX('Abstracts List'!$B:$B,MATCH($A13,'Abstracts List'!$A:$A,0)),"")</f>
        <v>Characteristic Investigation and Overvoltage Suppression of MMC-HVDC Integrated Offshore Wind Farms Under Onshore Valve-Side SPG Fault</v>
      </c>
      <c r="C13">
        <v>2</v>
      </c>
      <c r="D13" t="str">
        <f>INDEX('Question context'!$D$2:$D$49,MATCH($C13,'Question context'!$C$2:$C$49,0))</f>
        <v xml:space="preserve">How will protection systems need to change to accommodate high penetrations of IBRs, and what possible actions might an inverter take during a fault that would help fault detection and location? </v>
      </c>
      <c r="E13">
        <f>CHOOSE(N(INDEX('Question context'!$E$2:$Y$49,MATCH($C13,'Question context'!$C$2:$C$49,0),MATCH($A13,'Question context'!$E$1:$Y$1,0)))+1,10,30,50,60,80,90)</f>
        <v>60</v>
      </c>
      <c r="F13" t="str">
        <f t="shared" si="0"/>
        <v>Moderate</v>
      </c>
      <c r="H13" t="s">
        <v>575</v>
      </c>
    </row>
    <row r="14" spans="1:8" x14ac:dyDescent="0.25">
      <c r="A14">
        <v>103</v>
      </c>
      <c r="B14" t="str">
        <f>IFERROR(INDEX('Abstracts List'!$B:$B,MATCH($A14,'Abstracts List'!$A:$A,0)),"")</f>
        <v>Characteristic Investigation and Overvoltage Suppression of MMC-HVDC Integrated Offshore Wind Farms Under Onshore Valve-Side SPG Fault</v>
      </c>
      <c r="C14">
        <v>4</v>
      </c>
      <c r="D14" t="str">
        <f>INDEX('Question context'!$D$2:$D$49,MATCH($C14,'Question context'!$C$2:$C$49,0))</f>
        <v xml:space="preserve">What are the appropriate inverter capabilities and, consequently, control design methods for operation in grids with high percentages of IBRs, and are standard configurations and combinations of services helpful in simplifying operational decision-making? </v>
      </c>
      <c r="E14">
        <f>CHOOSE(N(INDEX('Question context'!$E$2:$Y$49,MATCH($C14,'Question context'!$C$2:$C$49,0),MATCH($A14,'Question context'!$E$1:$Y$1,0)))+1,10,30,50,60,80,90)</f>
        <v>50</v>
      </c>
      <c r="F14" t="str">
        <f t="shared" si="0"/>
        <v>Moderate</v>
      </c>
      <c r="H14" t="s">
        <v>575</v>
      </c>
    </row>
    <row r="15" spans="1:8" x14ac:dyDescent="0.25">
      <c r="A15">
        <v>103</v>
      </c>
      <c r="B15" t="str">
        <f>IFERROR(INDEX('Abstracts List'!$B:$B,MATCH($A15,'Abstracts List'!$A:$A,0)),"")</f>
        <v>Characteristic Investigation and Overvoltage Suppression of MMC-HVDC Integrated Offshore Wind Farms Under Onshore Valve-Side SPG Fault</v>
      </c>
      <c r="C15">
        <v>7</v>
      </c>
      <c r="D15" t="str">
        <f>INDEX('Question context'!$D$2:$D$49,MATCH($C15,'Question context'!$C$2:$C$49,0))</f>
        <v>What approaches can be taken to track the dynamic response of IBR-dominated systems near real time and detect any emerging stability problems?</v>
      </c>
      <c r="E15">
        <f>CHOOSE(N(INDEX('Question context'!$E$2:$Y$49,MATCH($C15,'Question context'!$C$2:$C$49,0),MATCH($A15,'Question context'!$E$1:$Y$1,0)))+1,10,30,50,60,80,90)</f>
        <v>30</v>
      </c>
      <c r="F15" t="str">
        <f t="shared" si="0"/>
        <v>Low</v>
      </c>
      <c r="H15" t="s">
        <v>575</v>
      </c>
    </row>
    <row r="16" spans="1:8" x14ac:dyDescent="0.25">
      <c r="A16">
        <v>103</v>
      </c>
      <c r="B16" t="str">
        <f>IFERROR(INDEX('Abstracts List'!$B:$B,MATCH($A16,'Abstracts List'!$A:$A,0)),"")</f>
        <v>Characteristic Investigation and Overvoltage Suppression of MMC-HVDC Integrated Offshore Wind Farms Under Onshore Valve-Side SPG Fault</v>
      </c>
      <c r="C16">
        <v>9</v>
      </c>
      <c r="D16" t="str">
        <f>INDEX('Question context'!$D$2:$D$49,MATCH($C16,'Question context'!$C$2:$C$49,0))</f>
        <v xml:space="preserve">What analytical tools and models should be provided to planners and operators for robust assessment of system performance in IBR-dominated power grids? </v>
      </c>
      <c r="E16">
        <f>CHOOSE(N(INDEX('Question context'!$E$2:$Y$49,MATCH($C16,'Question context'!$C$2:$C$49,0),MATCH($A16,'Question context'!$E$1:$Y$1,0)))+1,10,30,50,60,80,90)</f>
        <v>50</v>
      </c>
      <c r="F16" t="str">
        <f t="shared" si="0"/>
        <v>Moderate</v>
      </c>
      <c r="H16" t="s">
        <v>575</v>
      </c>
    </row>
    <row r="17" spans="1:8" x14ac:dyDescent="0.25">
      <c r="A17">
        <v>103</v>
      </c>
      <c r="B17" t="str">
        <f>IFERROR(INDEX('Abstracts List'!$B:$B,MATCH($A17,'Abstracts List'!$A:$A,0)),"")</f>
        <v>Characteristic Investigation and Overvoltage Suppression of MMC-HVDC Integrated Offshore Wind Farms Under Onshore Valve-Side SPG Fault</v>
      </c>
      <c r="C17">
        <v>19</v>
      </c>
      <c r="D17" t="str">
        <f>INDEX('Question context'!$D$2:$D$49,MATCH($C17,'Question context'!$C$2:$C$49,0))</f>
        <v>How can the capabilities of grid-enhancing technologies (such as FACTS,SPS, RAS, DLR, PFC, WAMPAC) be integrated into the operational decision-making process?</v>
      </c>
      <c r="E17">
        <f>CHOOSE(N(INDEX('Question context'!$E$2:$Y$49,MATCH($C17,'Question context'!$C$2:$C$49,0),MATCH($A17,'Question context'!$E$1:$Y$1,0)))+1,10,30,50,60,80,90)</f>
        <v>30</v>
      </c>
      <c r="F17" t="str">
        <f t="shared" si="0"/>
        <v>Low</v>
      </c>
      <c r="H17" t="s">
        <v>575</v>
      </c>
    </row>
    <row r="18" spans="1:8" x14ac:dyDescent="0.25">
      <c r="A18">
        <v>103</v>
      </c>
      <c r="B18" t="str">
        <f>IFERROR(INDEX('Abstracts List'!$B:$B,MATCH($A18,'Abstracts List'!$A:$A,0)),"")</f>
        <v>Characteristic Investigation and Overvoltage Suppression of MMC-HVDC Integrated Offshore Wind Farms Under Onshore Valve-Side SPG Fault</v>
      </c>
      <c r="C18">
        <v>25</v>
      </c>
      <c r="D18" t="str">
        <f>INDEX('Question context'!$D$2:$D$49,MATCH($C18,'Question context'!$C$2:$C$49,0))</f>
        <v>What metrics and their definitions (system strength, inertia, or others) need to be appropriately monitored or calculated to assess system dynamic behavior in real time, and what monitoring capabilities are necessary to support these assessments?</v>
      </c>
      <c r="E18">
        <f>CHOOSE(N(INDEX('Question context'!$E$2:$Y$49,MATCH($C18,'Question context'!$C$2:$C$49,0),MATCH($A18,'Question context'!$E$1:$Y$1,0)))+1,10,30,50,60,80,90)</f>
        <v>30</v>
      </c>
      <c r="F18" t="str">
        <f t="shared" si="0"/>
        <v>Low</v>
      </c>
      <c r="H18" t="s">
        <v>575</v>
      </c>
    </row>
    <row r="19" spans="1:8" x14ac:dyDescent="0.25">
      <c r="A19">
        <v>103</v>
      </c>
      <c r="B19" t="str">
        <f>IFERROR(INDEX('Abstracts List'!$B:$B,MATCH($A19,'Abstracts List'!$A:$A,0)),"")</f>
        <v>Characteristic Investigation and Overvoltage Suppression of MMC-HVDC Integrated Offshore Wind Farms Under Onshore Valve-Side SPG Fault</v>
      </c>
      <c r="C19">
        <v>34</v>
      </c>
      <c r="D19" t="str">
        <f>INDEX('Question context'!$D$2:$D$49,MATCH($C19,'Question context'!$C$2:$C$49,0))</f>
        <v>What methods could determine the need, sufficiency, and locational nature of IBR voltage control and system strength services for a given area? </v>
      </c>
      <c r="E19">
        <f>CHOOSE(N(INDEX('Question context'!$E$2:$Y$49,MATCH($C19,'Question context'!$C$2:$C$49,0),MATCH($A19,'Question context'!$E$1:$Y$1,0)))+1,10,30,50,60,80,90)</f>
        <v>30</v>
      </c>
      <c r="F19" t="str">
        <f t="shared" si="0"/>
        <v>Low</v>
      </c>
      <c r="H19" t="s">
        <v>575</v>
      </c>
    </row>
    <row r="20" spans="1:8" x14ac:dyDescent="0.25">
      <c r="A20">
        <v>103</v>
      </c>
      <c r="B20" t="str">
        <f>IFERROR(INDEX('Abstracts List'!$B:$B,MATCH($A20,'Abstracts List'!$A:$A,0)),"")</f>
        <v>Characteristic Investigation and Overvoltage Suppression of MMC-HVDC Integrated Offshore Wind Farms Under Onshore Valve-Side SPG Fault</v>
      </c>
      <c r="C20">
        <v>35</v>
      </c>
      <c r="D20" t="str">
        <f>INDEX('Question context'!$D$2:$D$49,MATCH($C20,'Question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20">
        <f>CHOOSE(N(INDEX('Question context'!$E$2:$Y$49,MATCH($C20,'Question context'!$C$2:$C$49,0),MATCH($A20,'Question context'!$E$1:$Y$1,0)))+1,10,30,50,60,80,90)</f>
        <v>30</v>
      </c>
      <c r="F20" t="str">
        <f t="shared" si="0"/>
        <v>Low</v>
      </c>
      <c r="H20" t="s">
        <v>575</v>
      </c>
    </row>
    <row r="21" spans="1:8" x14ac:dyDescent="0.25">
      <c r="A21">
        <v>115</v>
      </c>
      <c r="B21" t="str">
        <f>IFERROR(INDEX('Abstracts List'!$B:$B,MATCH($A21,'Abstracts List'!$A:$A,0)),"")</f>
        <v>Adaptive Stability Contingency Screening for Operational Planning Based on Domain-Adversarial Graph Neural Network</v>
      </c>
      <c r="C21">
        <v>7</v>
      </c>
      <c r="D21" t="str">
        <f>INDEX('Question context'!$D$2:$D$49,MATCH($C21,'Question context'!$C$2:$C$49,0))</f>
        <v>What approaches can be taken to track the dynamic response of IBR-dominated systems near real time and detect any emerging stability problems?</v>
      </c>
      <c r="E21">
        <f>CHOOSE(N(INDEX('Question context'!$E$2:$Y$49,MATCH($C21,'Question context'!$C$2:$C$49,0),MATCH($A21,'Question context'!$E$1:$Y$1,0)))+1,10,30,50,60,80,90)</f>
        <v>50</v>
      </c>
      <c r="F21" t="str">
        <f t="shared" si="0"/>
        <v>Moderate</v>
      </c>
      <c r="H21" t="s">
        <v>575</v>
      </c>
    </row>
    <row r="22" spans="1:8" x14ac:dyDescent="0.25">
      <c r="A22">
        <v>115</v>
      </c>
      <c r="B22" t="str">
        <f>IFERROR(INDEX('Abstracts List'!$B:$B,MATCH($A22,'Abstracts List'!$A:$A,0)),"")</f>
        <v>Adaptive Stability Contingency Screening for Operational Planning Based on Domain-Adversarial Graph Neural Network</v>
      </c>
      <c r="C22">
        <v>9</v>
      </c>
      <c r="D22" t="str">
        <f>INDEX('Question context'!$D$2:$D$49,MATCH($C22,'Question context'!$C$2:$C$49,0))</f>
        <v xml:space="preserve">What analytical tools and models should be provided to planners and operators for robust assessment of system performance in IBR-dominated power grids? </v>
      </c>
      <c r="E22">
        <f>CHOOSE(N(INDEX('Question context'!$E$2:$Y$49,MATCH($C22,'Question context'!$C$2:$C$49,0),MATCH($A22,'Question context'!$E$1:$Y$1,0)))+1,10,30,50,60,80,90)</f>
        <v>50</v>
      </c>
      <c r="F22" t="str">
        <f t="shared" si="0"/>
        <v>Moderate</v>
      </c>
      <c r="H22" t="s">
        <v>575</v>
      </c>
    </row>
    <row r="23" spans="1:8" x14ac:dyDescent="0.25">
      <c r="A23">
        <v>115</v>
      </c>
      <c r="B23" t="str">
        <f>IFERROR(INDEX('Abstracts List'!$B:$B,MATCH($A23,'Abstracts List'!$A:$A,0)),"")</f>
        <v>Adaptive Stability Contingency Screening for Operational Planning Based on Domain-Adversarial Graph Neural Network</v>
      </c>
      <c r="C23">
        <v>20</v>
      </c>
      <c r="D23" t="str">
        <f>INDEX('Question context'!$D$2:$D$49,MATCH($C23,'Question context'!$C$2:$C$49,0))</f>
        <v>How can grid topology be flexibly adapted to be reliably integrated into the operational decision-making process with outage scheduling, transfer limit increase, and post contingency remedial actions?</v>
      </c>
      <c r="E23">
        <f>CHOOSE(N(INDEX('Question context'!$E$2:$Y$49,MATCH($C23,'Question context'!$C$2:$C$49,0),MATCH($A23,'Question context'!$E$1:$Y$1,0)))+1,10,30,50,60,80,90)</f>
        <v>60</v>
      </c>
      <c r="F23" t="str">
        <f t="shared" si="0"/>
        <v>Moderate</v>
      </c>
      <c r="H23" t="s">
        <v>575</v>
      </c>
    </row>
    <row r="24" spans="1:8" x14ac:dyDescent="0.25">
      <c r="A24">
        <v>115</v>
      </c>
      <c r="B24" t="str">
        <f>IFERROR(INDEX('Abstracts List'!$B:$B,MATCH($A24,'Abstracts List'!$A:$A,0)),"")</f>
        <v>Adaptive Stability Contingency Screening for Operational Planning Based on Domain-Adversarial Graph Neural Network</v>
      </c>
      <c r="C24">
        <v>24</v>
      </c>
      <c r="D24" t="str">
        <f>INDEX('Question context'!$D$2:$D$49,MATCH($C24,'Question context'!$C$2:$C$49,0))</f>
        <v>How can the risk of high-impact low-probability events (weather-related and otherwise) be incorporated into security assessments in real time and operations planning?</v>
      </c>
      <c r="E24">
        <f>CHOOSE(N(INDEX('Question context'!$E$2:$Y$49,MATCH($C24,'Question context'!$C$2:$C$49,0),MATCH($A24,'Question context'!$E$1:$Y$1,0)))+1,10,30,50,60,80,90)</f>
        <v>30</v>
      </c>
      <c r="F24" t="str">
        <f t="shared" si="0"/>
        <v>Low</v>
      </c>
      <c r="H24" t="s">
        <v>575</v>
      </c>
    </row>
    <row r="25" spans="1:8" x14ac:dyDescent="0.25">
      <c r="A25">
        <v>115</v>
      </c>
      <c r="B25" t="str">
        <f>IFERROR(INDEX('Abstracts List'!$B:$B,MATCH($A25,'Abstracts List'!$A:$A,0)),"")</f>
        <v>Adaptive Stability Contingency Screening for Operational Planning Based on Domain-Adversarial Graph Neural Network</v>
      </c>
      <c r="C25">
        <v>47</v>
      </c>
      <c r="D25" t="str">
        <f>INDEX('Question context'!$D$2:$D$49,MATCH($C25,'Question context'!$C$2:$C$49,0))</f>
        <v>How do system operators adequately account for the overall system impact of extreme events in planning studies, particularly those that impact the system with a high share of flexible resources in both supply and demand (wind, solar, demand-side flexibility)? </v>
      </c>
      <c r="E25">
        <f>CHOOSE(N(INDEX('Question context'!$E$2:$Y$49,MATCH($C25,'Question context'!$C$2:$C$49,0),MATCH($A25,'Question context'!$E$1:$Y$1,0)))+1,10,30,50,60,80,90)</f>
        <v>30</v>
      </c>
      <c r="F25" t="str">
        <f t="shared" si="0"/>
        <v>Low</v>
      </c>
      <c r="H25" t="s">
        <v>575</v>
      </c>
    </row>
    <row r="26" spans="1:8" x14ac:dyDescent="0.25">
      <c r="A26">
        <v>115</v>
      </c>
      <c r="B26" t="str">
        <f>IFERROR(INDEX('Abstracts List'!$B:$B,MATCH($A26,'Abstracts List'!$A:$A,0)),"")</f>
        <v>Adaptive Stability Contingency Screening for Operational Planning Based on Domain-Adversarial Graph Neural Network</v>
      </c>
      <c r="C26">
        <v>48</v>
      </c>
      <c r="D26" t="str">
        <f>INDEX('Question context'!$D$2:$D$49,MATCH($C26,'Question context'!$C$2:$C$49,0))</f>
        <v>What additional planning models and methods are needed to plan for a system that can withstand expected or unexpected lulls (e.g., an extended wind drought, or a dunkelflaute)?  </v>
      </c>
      <c r="E26">
        <f>CHOOSE(N(INDEX('Question context'!$E$2:$Y$49,MATCH($C26,'Question context'!$C$2:$C$49,0),MATCH($A26,'Question context'!$E$1:$Y$1,0)))+1,10,30,50,60,80,90)</f>
        <v>30</v>
      </c>
      <c r="F26" t="str">
        <f t="shared" si="0"/>
        <v>Low</v>
      </c>
      <c r="H26" t="s">
        <v>575</v>
      </c>
    </row>
    <row r="27" spans="1:8" x14ac:dyDescent="0.25">
      <c r="A27">
        <v>81</v>
      </c>
      <c r="B27" t="str">
        <f>IFERROR(INDEX('Abstracts List'!$B:$B,MATCH($A27,'Abstracts List'!$A:$A,0)),"")</f>
        <v>Virtual Prosumers P2P Transaction Based Distribution Network Expansion Planning</v>
      </c>
      <c r="C27">
        <v>12</v>
      </c>
      <c r="D27" t="str">
        <f>INDEX('Question context'!$D$2:$D$49,MATCH($C27,'Question context'!$C$2:$C$49,0))</f>
        <v>What mechanisms and appropriate aggregate DER representations and data are necessary to account for DERs in system-wide operation and planning, and in techno economic evaluation?</v>
      </c>
      <c r="E27">
        <f>CHOOSE(N(INDEX('Question context'!$E$2:$Y$49,MATCH($C27,'Question context'!$C$2:$C$49,0),MATCH($A27,'Question context'!$E$1:$Y$1,0)))+1,10,30,50,60,80,90)</f>
        <v>60</v>
      </c>
      <c r="F27" t="str">
        <f t="shared" si="0"/>
        <v>Moderate</v>
      </c>
      <c r="H27" t="s">
        <v>575</v>
      </c>
    </row>
    <row r="28" spans="1:8" x14ac:dyDescent="0.25">
      <c r="A28">
        <v>81</v>
      </c>
      <c r="B28" t="str">
        <f>IFERROR(INDEX('Abstracts List'!$B:$B,MATCH($A28,'Abstracts List'!$A:$A,0)),"")</f>
        <v>Virtual Prosumers P2P Transaction Based Distribution Network Expansion Planning</v>
      </c>
      <c r="C28">
        <v>13</v>
      </c>
      <c r="D28" t="str">
        <f>INDEX('Question context'!$D$2:$D$49,MATCH($C28,'Question context'!$C$2:$C$49,0))</f>
        <v>How can system operators quantify the bulk-level energy and service opportunities from DER, and how can these services be shared among distribution operators, bulk operators, aggregators and (where applicable) customers?</v>
      </c>
      <c r="E28">
        <f>CHOOSE(N(INDEX('Question context'!$E$2:$Y$49,MATCH($C28,'Question context'!$C$2:$C$49,0),MATCH($A28,'Question context'!$E$1:$Y$1,0)))+1,10,30,50,60,80,90)</f>
        <v>30</v>
      </c>
      <c r="F28" t="str">
        <f t="shared" si="0"/>
        <v>Low</v>
      </c>
      <c r="H28" t="s">
        <v>575</v>
      </c>
    </row>
    <row r="29" spans="1:8" x14ac:dyDescent="0.25">
      <c r="A29">
        <v>81</v>
      </c>
      <c r="B29" t="str">
        <f>IFERROR(INDEX('Abstracts List'!$B:$B,MATCH($A29,'Abstracts List'!$A:$A,0)),"")</f>
        <v>Virtual Prosumers P2P Transaction Based Distribution Network Expansion Planning</v>
      </c>
      <c r="C29">
        <v>14</v>
      </c>
      <c r="D29" t="str">
        <f>INDEX('Question context'!$D$2:$D$49,MATCH($C29,'Question context'!$C$2:$C$49,0))</f>
        <v>How can bulk-level services provided by DER be valued as a compromise between simplicity and, for example, a complex full cost-reflective approach?</v>
      </c>
      <c r="E29">
        <f>CHOOSE(N(INDEX('Question context'!$E$2:$Y$49,MATCH($C29,'Question context'!$C$2:$C$49,0),MATCH($A29,'Question context'!$E$1:$Y$1,0)))+1,10,30,50,60,80,90)</f>
        <v>50</v>
      </c>
      <c r="F29" t="str">
        <f t="shared" si="0"/>
        <v>Moderate</v>
      </c>
      <c r="H29" t="s">
        <v>575</v>
      </c>
    </row>
    <row r="30" spans="1:8" x14ac:dyDescent="0.25">
      <c r="A30">
        <v>81</v>
      </c>
      <c r="B30" t="str">
        <f>IFERROR(INDEX('Abstracts List'!$B:$B,MATCH($A30,'Abstracts List'!$A:$A,0)),"")</f>
        <v>Virtual Prosumers P2P Transaction Based Distribution Network Expansion Planning</v>
      </c>
      <c r="C30">
        <v>39</v>
      </c>
      <c r="D30" t="str">
        <f>INDEX('Question context'!$D$2:$D$49,MATCH($C30,'Question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30">
        <f>CHOOSE(N(INDEX('Question context'!$E$2:$Y$49,MATCH($C30,'Question context'!$C$2:$C$49,0),MATCH($A30,'Question context'!$E$1:$Y$1,0)))+1,10,30,50,60,80,90)</f>
        <v>30</v>
      </c>
      <c r="F30" t="str">
        <f t="shared" si="0"/>
        <v>Low</v>
      </c>
      <c r="H30" t="s">
        <v>575</v>
      </c>
    </row>
    <row r="31" spans="1:8" x14ac:dyDescent="0.25">
      <c r="A31">
        <v>81</v>
      </c>
      <c r="B31" t="str">
        <f>IFERROR(INDEX('Abstracts List'!$B:$B,MATCH($A31,'Abstracts List'!$A:$A,0)),"")</f>
        <v>Virtual Prosumers P2P Transaction Based Distribution Network Expansion Planning</v>
      </c>
      <c r="C31">
        <v>40</v>
      </c>
      <c r="D31" t="str">
        <f>INDEX('Question context'!$D$2:$D$49,MATCH($C31,'Question context'!$C$2:$C$49,0))</f>
        <v>What studies and metrics are required to evaluate resource adequacy with hybrid plants (e.g., photovoltaics-plus-storage) and virtual power plants? </v>
      </c>
      <c r="E31">
        <f>CHOOSE(N(INDEX('Question context'!$E$2:$Y$49,MATCH($C31,'Question context'!$C$2:$C$49,0),MATCH($A31,'Question context'!$E$1:$Y$1,0)))+1,10,30,50,60,80,90)</f>
        <v>50</v>
      </c>
      <c r="F31" t="str">
        <f t="shared" si="0"/>
        <v>Moderate</v>
      </c>
      <c r="H31" t="s">
        <v>575</v>
      </c>
    </row>
    <row r="32" spans="1:8" x14ac:dyDescent="0.25">
      <c r="A32">
        <v>81</v>
      </c>
      <c r="B32" t="str">
        <f>IFERROR(INDEX('Abstracts List'!$B:$B,MATCH($A32,'Abstracts List'!$A:$A,0)),"")</f>
        <v>Virtual Prosumers P2P Transaction Based Distribution Network Expansion Planning</v>
      </c>
      <c r="C32">
        <v>42</v>
      </c>
      <c r="D32" t="str">
        <f>INDEX('Question context'!$D$2:$D$49,MATCH($C32,'Question context'!$C$2:$C$49,0))</f>
        <v>What additional planning models and methods are needed to plan for various levels of uncertainty and no-regrets investments in a paradigm of increasing electrification and growing IBR and DER penetrations? </v>
      </c>
      <c r="E32">
        <f>CHOOSE(N(INDEX('Question context'!$E$2:$Y$49,MATCH($C32,'Question context'!$C$2:$C$49,0),MATCH($A32,'Question context'!$E$1:$Y$1,0)))+1,10,30,50,60,80,90)</f>
        <v>50</v>
      </c>
      <c r="F32" t="str">
        <f t="shared" si="0"/>
        <v>Moderate</v>
      </c>
      <c r="H32" t="s">
        <v>575</v>
      </c>
    </row>
    <row r="33" spans="1:8" x14ac:dyDescent="0.25">
      <c r="A33">
        <v>81</v>
      </c>
      <c r="B33" t="str">
        <f>IFERROR(INDEX('Abstracts List'!$B:$B,MATCH($A33,'Abstracts List'!$A:$A,0)),"")</f>
        <v>Virtual Prosumers P2P Transaction Based Distribution Network Expansion Planning</v>
      </c>
      <c r="C33">
        <v>45</v>
      </c>
      <c r="D33" t="str">
        <f>INDEX('Question context'!$D$2:$D$49,MATCH($C33,'Question context'!$C$2:$C$49,0))</f>
        <v>What additional load and resource forecasting models are necessary to account for electrification, including large loads (e.g., data centers), coupling of the transportation and building sectors, and demand-side flexibility? </v>
      </c>
      <c r="E33">
        <f>CHOOSE(N(INDEX('Question context'!$E$2:$Y$49,MATCH($C33,'Question context'!$C$2:$C$49,0),MATCH($A33,'Question context'!$E$1:$Y$1,0)))+1,10,30,50,60,80,90)</f>
        <v>50</v>
      </c>
      <c r="F33" t="str">
        <f t="shared" si="0"/>
        <v>Moderate</v>
      </c>
      <c r="H33" t="s">
        <v>575</v>
      </c>
    </row>
    <row r="34" spans="1:8" x14ac:dyDescent="0.25">
      <c r="A34">
        <v>134</v>
      </c>
      <c r="B34" t="str">
        <f>IFERROR(INDEX('Abstracts List'!$B:$B,MATCH($A34,'Abstracts List'!$A:$A,0)),"")</f>
        <v>High-Dimensional Feature Selection for Power System Congestion Event Prognosis With Enhanced Evolutionary Computation</v>
      </c>
      <c r="C34">
        <v>20</v>
      </c>
      <c r="D34" t="str">
        <f>INDEX('Question context'!$D$2:$D$49,MATCH($C34,'Question context'!$C$2:$C$49,0))</f>
        <v>How can grid topology be flexibly adapted to be reliably integrated into the operational decision-making process with outage scheduling, transfer limit increase, and post contingency remedial actions?</v>
      </c>
      <c r="E34">
        <f>CHOOSE(N(INDEX('Question context'!$E$2:$Y$49,MATCH($C34,'Question context'!$C$2:$C$49,0),MATCH($A34,'Question context'!$E$1:$Y$1,0)))+1,10,30,50,60,80,90)</f>
        <v>50</v>
      </c>
      <c r="F34" t="str">
        <f t="shared" si="0"/>
        <v>Moderate</v>
      </c>
      <c r="H34" t="s">
        <v>575</v>
      </c>
    </row>
    <row r="35" spans="1:8" x14ac:dyDescent="0.25">
      <c r="A35">
        <v>134</v>
      </c>
      <c r="B35" t="str">
        <f>IFERROR(INDEX('Abstracts List'!$B:$B,MATCH($A35,'Abstracts List'!$A:$A,0)),"")</f>
        <v>High-Dimensional Feature Selection for Power System Congestion Event Prognosis With Enhanced Evolutionary Computation</v>
      </c>
      <c r="C35">
        <v>21</v>
      </c>
      <c r="D35" t="str">
        <f>INDEX('Question context'!$D$2:$D$49,MATCH($C35,'Question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35">
        <f>CHOOSE(N(INDEX('Question context'!$E$2:$Y$49,MATCH($C35,'Question context'!$C$2:$C$49,0),MATCH($A35,'Question context'!$E$1:$Y$1,0)))+1,10,30,50,60,80,90)</f>
        <v>50</v>
      </c>
      <c r="F35" t="str">
        <f t="shared" si="0"/>
        <v>Moderate</v>
      </c>
      <c r="H35" t="s">
        <v>575</v>
      </c>
    </row>
    <row r="36" spans="1:8" x14ac:dyDescent="0.25">
      <c r="A36">
        <v>134</v>
      </c>
      <c r="B36" t="str">
        <f>IFERROR(INDEX('Abstracts List'!$B:$B,MATCH($A36,'Abstracts List'!$A:$A,0)),"")</f>
        <v>High-Dimensional Feature Selection for Power System Congestion Event Prognosis With Enhanced Evolutionary Computation</v>
      </c>
      <c r="C36">
        <v>23</v>
      </c>
      <c r="D36" t="str">
        <f>INDEX('Question context'!$D$2:$D$49,MATCH($C36,'Question context'!$C$2:$C$49,0))</f>
        <v>What is the best way to integrate large datasets, streaming information, and historical system performance to create actionable operational insights in an increasingly complex environment with multiple phenomena occurring within overlapping timescales?</v>
      </c>
      <c r="E36">
        <f>CHOOSE(N(INDEX('Question context'!$E$2:$Y$49,MATCH($C36,'Question context'!$C$2:$C$49,0),MATCH($A36,'Question context'!$E$1:$Y$1,0)))+1,10,30,50,60,80,90)</f>
        <v>50</v>
      </c>
      <c r="F36" t="str">
        <f t="shared" si="0"/>
        <v>Moderate</v>
      </c>
      <c r="H36" t="s">
        <v>575</v>
      </c>
    </row>
    <row r="37" spans="1:8" x14ac:dyDescent="0.25">
      <c r="A37">
        <v>134</v>
      </c>
      <c r="B37" t="str">
        <f>IFERROR(INDEX('Abstracts List'!$B:$B,MATCH($A37,'Abstracts List'!$A:$A,0)),"")</f>
        <v>High-Dimensional Feature Selection for Power System Congestion Event Prognosis With Enhanced Evolutionary Computation</v>
      </c>
      <c r="C37">
        <v>24</v>
      </c>
      <c r="D37" t="str">
        <f>INDEX('Question context'!$D$2:$D$49,MATCH($C37,'Question context'!$C$2:$C$49,0))</f>
        <v>How can the risk of high-impact low-probability events (weather-related and otherwise) be incorporated into security assessments in real time and operations planning?</v>
      </c>
      <c r="E37">
        <f>CHOOSE(N(INDEX('Question context'!$E$2:$Y$49,MATCH($C37,'Question context'!$C$2:$C$49,0),MATCH($A37,'Question context'!$E$1:$Y$1,0)))+1,10,30,50,60,80,90)</f>
        <v>30</v>
      </c>
      <c r="F37" t="str">
        <f t="shared" si="0"/>
        <v>Low</v>
      </c>
      <c r="H37" t="s">
        <v>575</v>
      </c>
    </row>
    <row r="38" spans="1:8" x14ac:dyDescent="0.25">
      <c r="A38">
        <v>134</v>
      </c>
      <c r="B38" t="str">
        <f>IFERROR(INDEX('Abstracts List'!$B:$B,MATCH($A38,'Abstracts List'!$A:$A,0)),"")</f>
        <v>High-Dimensional Feature Selection for Power System Congestion Event Prognosis With Enhanced Evolutionary Computation</v>
      </c>
      <c r="C38">
        <v>26</v>
      </c>
      <c r="D38" t="str">
        <f>INDEX('Question context'!$D$2:$D$49,MATCH($C38,'Question context'!$C$2:$C$49,0))</f>
        <v>What improvements can be made to predictive tools and visualization methodologies in operational applications within the control room to support decision-making in real-time operations?</v>
      </c>
      <c r="E38">
        <f>CHOOSE(N(INDEX('Question context'!$E$2:$Y$49,MATCH($C38,'Question context'!$C$2:$C$49,0),MATCH($A38,'Question context'!$E$1:$Y$1,0)))+1,10,30,50,60,80,90)</f>
        <v>50</v>
      </c>
      <c r="F38" t="str">
        <f t="shared" si="0"/>
        <v>Moderate</v>
      </c>
      <c r="H38" t="s">
        <v>575</v>
      </c>
    </row>
    <row r="39" spans="1:8" x14ac:dyDescent="0.25">
      <c r="A39">
        <v>134</v>
      </c>
      <c r="B39" t="str">
        <f>IFERROR(INDEX('Abstracts List'!$B:$B,MATCH($A39,'Abstracts List'!$A:$A,0)),"")</f>
        <v>High-Dimensional Feature Selection for Power System Congestion Event Prognosis With Enhanced Evolutionary Computation</v>
      </c>
      <c r="C39">
        <v>27</v>
      </c>
      <c r="D39" t="str">
        <f>INDEX('Question context'!$D$2:$D$49,MATCH($C39,'Question context'!$C$2:$C$49,0))</f>
        <v>How can risk-based methods (e.g. probabilistic forecasting techniques) be better incorporated into operational decision-support tools and used consistently across multiple stages (e.g., real-time, day ahead, intraday planning)?</v>
      </c>
      <c r="E39">
        <f>CHOOSE(N(INDEX('Question context'!$E$2:$Y$49,MATCH($C39,'Question context'!$C$2:$C$49,0),MATCH($A39,'Question context'!$E$1:$Y$1,0)))+1,10,30,50,60,80,90)</f>
        <v>50</v>
      </c>
      <c r="F39" t="str">
        <f t="shared" si="0"/>
        <v>Moderate</v>
      </c>
      <c r="H39" t="s">
        <v>575</v>
      </c>
    </row>
    <row r="40" spans="1:8" x14ac:dyDescent="0.25">
      <c r="A40">
        <v>134</v>
      </c>
      <c r="B40" t="str">
        <f>IFERROR(INDEX('Abstracts List'!$B:$B,MATCH($A40,'Abstracts List'!$A:$A,0)),"")</f>
        <v>High-Dimensional Feature Selection for Power System Congestion Event Prognosis With Enhanced Evolutionary Computation</v>
      </c>
      <c r="C40">
        <v>42</v>
      </c>
      <c r="D40" t="str">
        <f>INDEX('Question context'!$D$2:$D$49,MATCH($C40,'Question context'!$C$2:$C$49,0))</f>
        <v>What additional planning models and methods are needed to plan for various levels of uncertainty and no-regrets investments in a paradigm of increasing electrification and growing IBR and DER penetrations? </v>
      </c>
      <c r="E40">
        <f>CHOOSE(N(INDEX('Question context'!$E$2:$Y$49,MATCH($C40,'Question context'!$C$2:$C$49,0),MATCH($A40,'Question context'!$E$1:$Y$1,0)))+1,10,30,50,60,80,90)</f>
        <v>30</v>
      </c>
      <c r="F40" t="str">
        <f t="shared" si="0"/>
        <v>Low</v>
      </c>
      <c r="H40" t="s">
        <v>575</v>
      </c>
    </row>
    <row r="41" spans="1:8" x14ac:dyDescent="0.25">
      <c r="A41">
        <v>71</v>
      </c>
      <c r="B41" t="str">
        <f>IFERROR(INDEX('Abstracts List'!$B:$B,MATCH($A41,'Abstracts List'!$A:$A,0)),"")</f>
        <v>Electromechanical Transient Modeling of the Low-Frequency AC System With Modular Multilevel Matrix Converter Stations</v>
      </c>
      <c r="C41">
        <v>7</v>
      </c>
      <c r="D41" t="str">
        <f>INDEX('Question context'!$D$2:$D$49,MATCH($C41,'Question context'!$C$2:$C$49,0))</f>
        <v>What approaches can be taken to track the dynamic response of IBR-dominated systems near real time and detect any emerging stability problems?</v>
      </c>
      <c r="E41">
        <f>CHOOSE(N(INDEX('Question context'!$E$2:$Y$49,MATCH($C41,'Question context'!$C$2:$C$49,0),MATCH($A41,'Question context'!$E$1:$Y$1,0)))+1,10,30,50,60,80,90)</f>
        <v>30</v>
      </c>
      <c r="F41" t="str">
        <f t="shared" si="0"/>
        <v>Low</v>
      </c>
      <c r="H41" t="s">
        <v>575</v>
      </c>
    </row>
    <row r="42" spans="1:8" x14ac:dyDescent="0.25">
      <c r="A42">
        <v>71</v>
      </c>
      <c r="B42" t="str">
        <f>IFERROR(INDEX('Abstracts List'!$B:$B,MATCH($A42,'Abstracts List'!$A:$A,0)),"")</f>
        <v>Electromechanical Transient Modeling of the Low-Frequency AC System With Modular Multilevel Matrix Converter Stations</v>
      </c>
      <c r="C42">
        <v>9</v>
      </c>
      <c r="D42" t="str">
        <f>INDEX('Question context'!$D$2:$D$49,MATCH($C42,'Question context'!$C$2:$C$49,0))</f>
        <v xml:space="preserve">What analytical tools and models should be provided to planners and operators for robust assessment of system performance in IBR-dominated power grids? </v>
      </c>
      <c r="E42">
        <f>CHOOSE(N(INDEX('Question context'!$E$2:$Y$49,MATCH($C42,'Question context'!$C$2:$C$49,0),MATCH($A42,'Question context'!$E$1:$Y$1,0)))+1,10,30,50,60,80,90)</f>
        <v>60</v>
      </c>
      <c r="F42" t="str">
        <f t="shared" si="0"/>
        <v>Moderate</v>
      </c>
      <c r="H42" t="s">
        <v>575</v>
      </c>
    </row>
    <row r="43" spans="1:8" x14ac:dyDescent="0.25">
      <c r="A43">
        <v>71</v>
      </c>
      <c r="B43" t="str">
        <f>IFERROR(INDEX('Abstracts List'!$B:$B,MATCH($A43,'Abstracts List'!$A:$A,0)),"")</f>
        <v>Electromechanical Transient Modeling of the Low-Frequency AC System With Modular Multilevel Matrix Converter Stations</v>
      </c>
      <c r="C43">
        <v>11</v>
      </c>
      <c r="D43" t="str">
        <f>INDEX('Question context'!$D$2:$D$49,MATCH($C43,'Question context'!$C$2:$C$49,0))</f>
        <v>In what form and fidelity should the original equipment manufacturers/developers and system operators exchange the IBR and grid models for comprehensive stability assurance of IBR-dominated grids?</v>
      </c>
      <c r="E43">
        <f>CHOOSE(N(INDEX('Question context'!$E$2:$Y$49,MATCH($C43,'Question context'!$C$2:$C$49,0),MATCH($A43,'Question context'!$E$1:$Y$1,0)))+1,10,30,50,60,80,90)</f>
        <v>30</v>
      </c>
      <c r="F43" t="str">
        <f t="shared" si="0"/>
        <v>Low</v>
      </c>
      <c r="H43" t="s">
        <v>575</v>
      </c>
    </row>
    <row r="44" spans="1:8" x14ac:dyDescent="0.25">
      <c r="A44">
        <v>71</v>
      </c>
      <c r="B44" t="str">
        <f>IFERROR(INDEX('Abstracts List'!$B:$B,MATCH($A44,'Abstracts List'!$A:$A,0)),"")</f>
        <v>Electromechanical Transient Modeling of the Low-Frequency AC System With Modular Multilevel Matrix Converter Stations</v>
      </c>
      <c r="C44">
        <v>38</v>
      </c>
      <c r="D44" t="str">
        <f>INDEX('Question context'!$D$2:$D$49,MATCH($C44,'Question context'!$C$2:$C$49,0))</f>
        <v>How should grid enhancing technologies be included in the planning processes? </v>
      </c>
      <c r="E44">
        <f>CHOOSE(N(INDEX('Question context'!$E$2:$Y$49,MATCH($C44,'Question context'!$C$2:$C$49,0),MATCH($A44,'Question context'!$E$1:$Y$1,0)))+1,10,30,50,60,80,90)</f>
        <v>30</v>
      </c>
      <c r="F44" t="str">
        <f t="shared" si="0"/>
        <v>Low</v>
      </c>
      <c r="H44" t="s">
        <v>575</v>
      </c>
    </row>
    <row r="45" spans="1:8" x14ac:dyDescent="0.25">
      <c r="A45">
        <v>71</v>
      </c>
      <c r="B45" t="str">
        <f>IFERROR(INDEX('Abstracts List'!$B:$B,MATCH($A45,'Abstracts List'!$A:$A,0)),"")</f>
        <v>Electromechanical Transient Modeling of the Low-Frequency AC System With Modular Multilevel Matrix Converter Stations</v>
      </c>
      <c r="C45">
        <v>39</v>
      </c>
      <c r="D45" t="str">
        <f>INDEX('Question context'!$D$2:$D$49,MATCH($C45,'Question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45">
        <f>CHOOSE(N(INDEX('Question context'!$E$2:$Y$49,MATCH($C45,'Question context'!$C$2:$C$49,0),MATCH($A45,'Question context'!$E$1:$Y$1,0)))+1,10,30,50,60,80,90)</f>
        <v>30</v>
      </c>
      <c r="F45" t="str">
        <f t="shared" si="0"/>
        <v>Low</v>
      </c>
      <c r="H45" t="s">
        <v>575</v>
      </c>
    </row>
    <row r="46" spans="1:8" x14ac:dyDescent="0.25">
      <c r="A46">
        <v>71</v>
      </c>
      <c r="B46" t="str">
        <f>IFERROR(INDEX('Abstracts List'!$B:$B,MATCH($A46,'Abstracts List'!$A:$A,0)),"")</f>
        <v>Electromechanical Transient Modeling of the Low-Frequency AC System With Modular Multilevel Matrix Converter Stations</v>
      </c>
      <c r="C46">
        <v>41</v>
      </c>
      <c r="D46" t="str">
        <f>INDEX('Question context'!$D$2:$D$49,MATCH($C46,'Question context'!$C$2:$C$49,0))</f>
        <v>What additional probabilistic planning methods and tools are necessary for planning a power system with a high share of IBRs and in particular, variable renewable energy resources? </v>
      </c>
      <c r="E46">
        <f>CHOOSE(N(INDEX('Question context'!$E$2:$Y$49,MATCH($C46,'Question context'!$C$2:$C$49,0),MATCH($A46,'Question context'!$E$1:$Y$1,0)))+1,10,30,50,60,80,90)</f>
        <v>30</v>
      </c>
      <c r="F46" t="str">
        <f t="shared" si="0"/>
        <v>Low</v>
      </c>
      <c r="H46" t="s">
        <v>575</v>
      </c>
    </row>
    <row r="47" spans="1:8" x14ac:dyDescent="0.25">
      <c r="A47">
        <v>146</v>
      </c>
      <c r="B47" t="str">
        <f>IFERROR(INDEX('Abstracts List'!$B:$B,MATCH($A47,'Abstracts List'!$A:$A,0)),"")</f>
        <v>Automatic Generation of Topology Diagrams for Strongly-Meshed Power Transmission Systems</v>
      </c>
      <c r="C47">
        <v>20</v>
      </c>
      <c r="D47" t="str">
        <f>INDEX('Question context'!$D$2:$D$49,MATCH($C47,'Question context'!$C$2:$C$49,0))</f>
        <v>How can grid topology be flexibly adapted to be reliably integrated into the operational decision-making process with outage scheduling, transfer limit increase, and post contingency remedial actions?</v>
      </c>
      <c r="E47">
        <f>CHOOSE(N(INDEX('Question context'!$E$2:$Y$49,MATCH($C47,'Question context'!$C$2:$C$49,0),MATCH($A47,'Question context'!$E$1:$Y$1,0)))+1,10,30,50,60,80,90)</f>
        <v>50</v>
      </c>
      <c r="F47" t="str">
        <f t="shared" si="0"/>
        <v>Moderate</v>
      </c>
      <c r="H47" t="s">
        <v>575</v>
      </c>
    </row>
    <row r="48" spans="1:8" x14ac:dyDescent="0.25">
      <c r="A48">
        <v>146</v>
      </c>
      <c r="B48" t="str">
        <f>IFERROR(INDEX('Abstracts List'!$B:$B,MATCH($A48,'Abstracts List'!$A:$A,0)),"")</f>
        <v>Automatic Generation of Topology Diagrams for Strongly-Meshed Power Transmission Systems</v>
      </c>
      <c r="C48">
        <v>26</v>
      </c>
      <c r="D48" t="str">
        <f>INDEX('Question context'!$D$2:$D$49,MATCH($C48,'Question context'!$C$2:$C$49,0))</f>
        <v>What improvements can be made to predictive tools and visualization methodologies in operational applications within the control room to support decision-making in real-time operations?</v>
      </c>
      <c r="E48">
        <f>CHOOSE(N(INDEX('Question context'!$E$2:$Y$49,MATCH($C48,'Question context'!$C$2:$C$49,0),MATCH($A48,'Question context'!$E$1:$Y$1,0)))+1,10,30,50,60,80,90)</f>
        <v>80</v>
      </c>
      <c r="F48" t="str">
        <f t="shared" si="0"/>
        <v>High</v>
      </c>
      <c r="H48" t="s">
        <v>575</v>
      </c>
    </row>
    <row r="49" spans="1:8" x14ac:dyDescent="0.25">
      <c r="A49">
        <v>65</v>
      </c>
      <c r="B49" t="str">
        <f>IFERROR(INDEX('Abstracts List'!$B:$B,MATCH($A49,'Abstracts List'!$A:$A,0)),"")</f>
        <v>Cooperative Hierarchical Control of Isolated Microgrids Considering Energy Storage System Aggregation</v>
      </c>
      <c r="C49">
        <v>12</v>
      </c>
      <c r="D49" t="str">
        <f>INDEX('Question context'!$D$2:$D$49,MATCH($C49,'Question context'!$C$2:$C$49,0))</f>
        <v>What mechanisms and appropriate aggregate DER representations and data are necessary to account for DERs in system-wide operation and planning, and in techno economic evaluation?</v>
      </c>
      <c r="E49">
        <f>CHOOSE(N(INDEX('Question context'!$E$2:$Y$49,MATCH($C49,'Question context'!$C$2:$C$49,0),MATCH($A49,'Question context'!$E$1:$Y$1,0)))+1,10,30,50,60,80,90)</f>
        <v>30</v>
      </c>
      <c r="F49" t="str">
        <f t="shared" si="0"/>
        <v>Low</v>
      </c>
      <c r="H49" t="s">
        <v>575</v>
      </c>
    </row>
    <row r="50" spans="1:8" x14ac:dyDescent="0.25">
      <c r="A50">
        <v>65</v>
      </c>
      <c r="B50" t="str">
        <f>IFERROR(INDEX('Abstracts List'!$B:$B,MATCH($A50,'Abstracts List'!$A:$A,0)),"")</f>
        <v>Cooperative Hierarchical Control of Isolated Microgrids Considering Energy Storage System Aggregation</v>
      </c>
      <c r="C50">
        <v>13</v>
      </c>
      <c r="D50" t="str">
        <f>INDEX('Question context'!$D$2:$D$49,MATCH($C50,'Question context'!$C$2:$C$49,0))</f>
        <v>How can system operators quantify the bulk-level energy and service opportunities from DER, and how can these services be shared among distribution operators, bulk operators, aggregators and (where applicable) customers?</v>
      </c>
      <c r="E50">
        <f>CHOOSE(N(INDEX('Question context'!$E$2:$Y$49,MATCH($C50,'Question context'!$C$2:$C$49,0),MATCH($A50,'Question context'!$E$1:$Y$1,0)))+1,10,30,50,60,80,90)</f>
        <v>30</v>
      </c>
      <c r="F50" t="str">
        <f t="shared" si="0"/>
        <v>Low</v>
      </c>
      <c r="H50" t="s">
        <v>575</v>
      </c>
    </row>
    <row r="51" spans="1:8" x14ac:dyDescent="0.25">
      <c r="A51">
        <v>65</v>
      </c>
      <c r="B51" t="str">
        <f>IFERROR(INDEX('Abstracts List'!$B:$B,MATCH($A51,'Abstracts List'!$A:$A,0)),"")</f>
        <v>Cooperative Hierarchical Control of Isolated Microgrids Considering Energy Storage System Aggregation</v>
      </c>
      <c r="C51">
        <v>14</v>
      </c>
      <c r="D51" t="str">
        <f>INDEX('Question context'!$D$2:$D$49,MATCH($C51,'Question context'!$C$2:$C$49,0))</f>
        <v>How can bulk-level services provided by DER be valued as a compromise between simplicity and, for example, a complex full cost-reflective approach?</v>
      </c>
      <c r="E51">
        <f>CHOOSE(N(INDEX('Question context'!$E$2:$Y$49,MATCH($C51,'Question context'!$C$2:$C$49,0),MATCH($A51,'Question context'!$E$1:$Y$1,0)))+1,10,30,50,60,80,90)</f>
        <v>30</v>
      </c>
      <c r="F51" t="str">
        <f t="shared" si="0"/>
        <v>Low</v>
      </c>
      <c r="H51" t="s">
        <v>575</v>
      </c>
    </row>
    <row r="52" spans="1:8" x14ac:dyDescent="0.25">
      <c r="A52">
        <v>65</v>
      </c>
      <c r="B52" t="str">
        <f>IFERROR(INDEX('Abstracts List'!$B:$B,MATCH($A52,'Abstracts List'!$A:$A,0)),"")</f>
        <v>Cooperative Hierarchical Control of Isolated Microgrids Considering Energy Storage System Aggregation</v>
      </c>
      <c r="C52">
        <v>15</v>
      </c>
      <c r="D52" t="str">
        <f>INDEX('Question context'!$D$2:$D$49,MATCH($C52,'Question context'!$C$2:$C$49,0))</f>
        <v>What aggregate quantities must be monitored, screened, and validated to ensure reliable service provision from different DER categories and at what
temporal and/or spatial resolution must these processes occur?</v>
      </c>
      <c r="E52">
        <f>CHOOSE(N(INDEX('Question context'!$E$2:$Y$49,MATCH($C52,'Question context'!$C$2:$C$49,0),MATCH($A52,'Question context'!$E$1:$Y$1,0)))+1,10,30,50,60,80,90)</f>
        <v>50</v>
      </c>
      <c r="F52" t="str">
        <f t="shared" si="0"/>
        <v>Moderate</v>
      </c>
      <c r="H52" t="s">
        <v>575</v>
      </c>
    </row>
    <row r="53" spans="1:8" x14ac:dyDescent="0.25">
      <c r="A53">
        <v>65</v>
      </c>
      <c r="B53" t="str">
        <f>IFERROR(INDEX('Abstracts List'!$B:$B,MATCH($A53,'Abstracts List'!$A:$A,0)),"")</f>
        <v>Cooperative Hierarchical Control of Isolated Microgrids Considering Energy Storage System Aggregation</v>
      </c>
      <c r="C53">
        <v>16</v>
      </c>
      <c r="D53" t="str">
        <f>INDEX('Question context'!$D$2:$D$49,MATCH($C53,'Question context'!$C$2:$C$49,0))</f>
        <v>What is the communication capability needed to support monitoring and coordination of DER in terms of reliability, latency, bandwidth and (cyber) security?</v>
      </c>
      <c r="E53">
        <f>CHOOSE(N(INDEX('Question context'!$E$2:$Y$49,MATCH($C53,'Question context'!$C$2:$C$49,0),MATCH($A53,'Question context'!$E$1:$Y$1,0)))+1,10,30,50,60,80,90)</f>
        <v>60</v>
      </c>
      <c r="F53" t="str">
        <f t="shared" si="0"/>
        <v>Moderate</v>
      </c>
      <c r="H53" t="s">
        <v>575</v>
      </c>
    </row>
    <row r="54" spans="1:8" x14ac:dyDescent="0.25">
      <c r="A54">
        <v>65</v>
      </c>
      <c r="B54" t="str">
        <f>IFERROR(INDEX('Abstracts List'!$B:$B,MATCH($A54,'Abstracts List'!$A:$A,0)),"")</f>
        <v>Cooperative Hierarchical Control of Isolated Microgrids Considering Energy Storage System Aggregation</v>
      </c>
      <c r="C54">
        <v>17</v>
      </c>
      <c r="D54" t="str">
        <f>INDEX('Question context'!$D$2:$D$49,MATCH($C54,'Question context'!$C$2:$C$49,0))</f>
        <v>What is a scalable data architecture for DER monitoring, modelling, and coordination in real-time that would be suitable for the control room?</v>
      </c>
      <c r="E54">
        <f>CHOOSE(N(INDEX('Question context'!$E$2:$Y$49,MATCH($C54,'Question context'!$C$2:$C$49,0),MATCH($A54,'Question context'!$E$1:$Y$1,0)))+1,10,30,50,60,80,90)</f>
        <v>50</v>
      </c>
      <c r="F54" t="str">
        <f t="shared" si="0"/>
        <v>Moderate</v>
      </c>
      <c r="H54" t="s">
        <v>575</v>
      </c>
    </row>
    <row r="55" spans="1:8" x14ac:dyDescent="0.25">
      <c r="A55">
        <v>65</v>
      </c>
      <c r="B55" t="str">
        <f>IFERROR(INDEX('Abstracts List'!$B:$B,MATCH($A55,'Abstracts List'!$A:$A,0)),"")</f>
        <v>Cooperative Hierarchical Control of Isolated Microgrids Considering Energy Storage System Aggregation</v>
      </c>
      <c r="C55">
        <v>18</v>
      </c>
      <c r="D55" t="str">
        <f>INDEX('Question context'!$D$2:$D$49,MATCH($C55,'Question context'!$C$2:$C$49,0))</f>
        <v>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v>
      </c>
      <c r="E55">
        <f>CHOOSE(N(INDEX('Question context'!$E$2:$Y$49,MATCH($C55,'Question context'!$C$2:$C$49,0),MATCH($A55,'Question context'!$E$1:$Y$1,0)))+1,10,30,50,60,80,90)</f>
        <v>50</v>
      </c>
      <c r="F55" t="str">
        <f t="shared" si="0"/>
        <v>Moderate</v>
      </c>
      <c r="H55" t="s">
        <v>575</v>
      </c>
    </row>
    <row r="56" spans="1:8" x14ac:dyDescent="0.25">
      <c r="A56">
        <v>65</v>
      </c>
      <c r="B56" t="str">
        <f>IFERROR(INDEX('Abstracts List'!$B:$B,MATCH($A56,'Abstracts List'!$A:$A,0)),"")</f>
        <v>Cooperative Hierarchical Control of Isolated Microgrids Considering Energy Storage System Aggregation</v>
      </c>
      <c r="C56">
        <v>29</v>
      </c>
      <c r="D56" t="str">
        <f>INDEX('Question context'!$D$2:$D$49,MATCH($C56,'Question context'!$C$2:$C$49,0))</f>
        <v>What are the needs of a power system expressed in technologically neutral form and how do these needs map to services that any resource (including data centers, other IBRs, DERs, high-voltage direct current links, etc.) can provide? </v>
      </c>
      <c r="E56">
        <f>CHOOSE(N(INDEX('Question context'!$E$2:$Y$49,MATCH($C56,'Question context'!$C$2:$C$49,0),MATCH($A56,'Question context'!$E$1:$Y$1,0)))+1,10,30,50,60,80,90)</f>
        <v>50</v>
      </c>
      <c r="F56" t="str">
        <f t="shared" si="0"/>
        <v>Moderate</v>
      </c>
      <c r="H56" t="s">
        <v>575</v>
      </c>
    </row>
    <row r="57" spans="1:8" x14ac:dyDescent="0.25">
      <c r="A57">
        <v>65</v>
      </c>
      <c r="B57" t="str">
        <f>IFERROR(INDEX('Abstracts List'!$B:$B,MATCH($A57,'Abstracts List'!$A:$A,0)),"")</f>
        <v>Cooperative Hierarchical Control of Isolated Microgrids Considering Energy Storage System Aggregation</v>
      </c>
      <c r="C57">
        <v>33</v>
      </c>
      <c r="D57" t="str">
        <f>INDEX('Question context'!$D$2:$D$49,MATCH($C57,'Question context'!$C$2:$C$49,0))</f>
        <v>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E57">
        <f>CHOOSE(N(INDEX('Question context'!$E$2:$Y$49,MATCH($C57,'Question context'!$C$2:$C$49,0),MATCH($A57,'Question context'!$E$1:$Y$1,0)))+1,10,30,50,60,80,90)</f>
        <v>50</v>
      </c>
      <c r="F57" t="str">
        <f t="shared" si="0"/>
        <v>Moderate</v>
      </c>
      <c r="H57" t="s">
        <v>575</v>
      </c>
    </row>
    <row r="58" spans="1:8" x14ac:dyDescent="0.25">
      <c r="A58">
        <v>65</v>
      </c>
      <c r="B58" t="str">
        <f>IFERROR(INDEX('Abstracts List'!$B:$B,MATCH($A58,'Abstracts List'!$A:$A,0)),"")</f>
        <v>Cooperative Hierarchical Control of Isolated Microgrids Considering Energy Storage System Aggregation</v>
      </c>
      <c r="C58">
        <v>35</v>
      </c>
      <c r="D58" t="str">
        <f>INDEX('Question context'!$D$2:$D$49,MATCH($C58,'Question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58">
        <f>CHOOSE(N(INDEX('Question context'!$E$2:$Y$49,MATCH($C58,'Question context'!$C$2:$C$49,0),MATCH($A58,'Question context'!$E$1:$Y$1,0)))+1,10,30,50,60,80,90)</f>
        <v>50</v>
      </c>
      <c r="F58" t="str">
        <f t="shared" si="0"/>
        <v>Moderate</v>
      </c>
      <c r="H58" t="s">
        <v>575</v>
      </c>
    </row>
    <row r="59" spans="1:8" x14ac:dyDescent="0.25">
      <c r="A59">
        <v>65</v>
      </c>
      <c r="B59" t="str">
        <f>IFERROR(INDEX('Abstracts List'!$B:$B,MATCH($A59,'Abstracts List'!$A:$A,0)),"")</f>
        <v>Cooperative Hierarchical Control of Isolated Microgrids Considering Energy Storage System Aggregation</v>
      </c>
      <c r="C59">
        <v>40</v>
      </c>
      <c r="D59" t="str">
        <f>INDEX('Question context'!$D$2:$D$49,MATCH($C59,'Question context'!$C$2:$C$49,0))</f>
        <v>What studies and metrics are required to evaluate resource adequacy with hybrid plants (e.g., photovoltaics-plus-storage) and virtual power plants? </v>
      </c>
      <c r="E59">
        <f>CHOOSE(N(INDEX('Question context'!$E$2:$Y$49,MATCH($C59,'Question context'!$C$2:$C$49,0),MATCH($A59,'Question context'!$E$1:$Y$1,0)))+1,10,30,50,60,80,90)</f>
        <v>30</v>
      </c>
      <c r="F59" t="str">
        <f t="shared" si="0"/>
        <v>Low</v>
      </c>
      <c r="H59" t="s">
        <v>575</v>
      </c>
    </row>
    <row r="60" spans="1:8" x14ac:dyDescent="0.25">
      <c r="A60">
        <v>65</v>
      </c>
      <c r="B60" t="str">
        <f>IFERROR(INDEX('Abstracts List'!$B:$B,MATCH($A60,'Abstracts List'!$A:$A,0)),"")</f>
        <v>Cooperative Hierarchical Control of Isolated Microgrids Considering Energy Storage System Aggregation</v>
      </c>
      <c r="C60">
        <v>42</v>
      </c>
      <c r="D60" t="str">
        <f>INDEX('Question context'!$D$2:$D$49,MATCH($C60,'Question context'!$C$2:$C$49,0))</f>
        <v>What additional planning models and methods are needed to plan for various levels of uncertainty and no-regrets investments in a paradigm of increasing electrification and growing IBR and DER penetrations? </v>
      </c>
      <c r="E60">
        <f>CHOOSE(N(INDEX('Question context'!$E$2:$Y$49,MATCH($C60,'Question context'!$C$2:$C$49,0),MATCH($A60,'Question context'!$E$1:$Y$1,0)))+1,10,30,50,60,80,90)</f>
        <v>30</v>
      </c>
      <c r="F60" t="str">
        <f t="shared" si="0"/>
        <v>Low</v>
      </c>
      <c r="H60" t="s">
        <v>575</v>
      </c>
    </row>
    <row r="61" spans="1:8" x14ac:dyDescent="0.25">
      <c r="A61">
        <v>65</v>
      </c>
      <c r="B61" t="str">
        <f>IFERROR(INDEX('Abstracts List'!$B:$B,MATCH($A61,'Abstracts List'!$A:$A,0)),"")</f>
        <v>Cooperative Hierarchical Control of Isolated Microgrids Considering Energy Storage System Aggregation</v>
      </c>
      <c r="C61">
        <v>44</v>
      </c>
      <c r="D61" t="str">
        <f>INDEX('Question context'!$D$2:$D$49,MATCH($C61,'Question context'!$C$2:$C$49,0))</f>
        <v>What methods, processes, and products (e.g. services) can support effective valuation, integration, and procurement of long-duration energy storage? </v>
      </c>
      <c r="E61">
        <f>CHOOSE(N(INDEX('Question context'!$E$2:$Y$49,MATCH($C61,'Question context'!$C$2:$C$49,0),MATCH($A61,'Question context'!$E$1:$Y$1,0)))+1,10,30,50,60,80,90)</f>
        <v>50</v>
      </c>
      <c r="F61" t="str">
        <f t="shared" si="0"/>
        <v>Moderate</v>
      </c>
      <c r="H61" t="s">
        <v>575</v>
      </c>
    </row>
    <row r="62" spans="1:8" x14ac:dyDescent="0.25">
      <c r="A62">
        <v>281</v>
      </c>
      <c r="B62" t="str">
        <f>IFERROR(INDEX('Abstracts List'!$B:$B,MATCH($A62,'Abstracts List'!$A:$A,0)),"")</f>
        <v>Minimum Energy Demands of Energy Storages for Fast Frequency Response: Formulation, Solution, and Implementation</v>
      </c>
      <c r="C62">
        <v>21</v>
      </c>
      <c r="D62" t="str">
        <f>INDEX('Question context'!$D$2:$D$49,MATCH($C62,'Question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62">
        <f>CHOOSE(N(INDEX('Question context'!$E$2:$Y$49,MATCH($C62,'Question context'!$C$2:$C$49,0),MATCH($A62,'Question context'!$E$1:$Y$1,0)))+1,10,30,50,60,80,90)</f>
        <v>30</v>
      </c>
      <c r="F62" t="str">
        <f t="shared" si="0"/>
        <v>Low</v>
      </c>
      <c r="H62" t="s">
        <v>575</v>
      </c>
    </row>
    <row r="63" spans="1:8" x14ac:dyDescent="0.25">
      <c r="A63">
        <v>281</v>
      </c>
      <c r="B63" t="str">
        <f>IFERROR(INDEX('Abstracts List'!$B:$B,MATCH($A63,'Abstracts List'!$A:$A,0)),"")</f>
        <v>Minimum Energy Demands of Energy Storages for Fast Frequency Response: Formulation, Solution, and Implementation</v>
      </c>
      <c r="C63">
        <v>29</v>
      </c>
      <c r="D63" t="str">
        <f>INDEX('Question context'!$D$2:$D$49,MATCH($C63,'Question context'!$C$2:$C$49,0))</f>
        <v>What are the needs of a power system expressed in technologically neutral form and how do these needs map to services that any resource (including data centers, other IBRs, DERs, high-voltage direct current links, etc.) can provide? </v>
      </c>
      <c r="E63">
        <f>CHOOSE(N(INDEX('Question context'!$E$2:$Y$49,MATCH($C63,'Question context'!$C$2:$C$49,0),MATCH($A63,'Question context'!$E$1:$Y$1,0)))+1,10,30,50,60,80,90)</f>
        <v>50</v>
      </c>
      <c r="F63" t="str">
        <f t="shared" si="0"/>
        <v>Moderate</v>
      </c>
      <c r="H63" t="s">
        <v>575</v>
      </c>
    </row>
    <row r="64" spans="1:8" x14ac:dyDescent="0.25">
      <c r="A64">
        <v>281</v>
      </c>
      <c r="B64" t="str">
        <f>IFERROR(INDEX('Abstracts List'!$B:$B,MATCH($A64,'Abstracts List'!$A:$A,0)),"")</f>
        <v>Minimum Energy Demands of Energy Storages for Fast Frequency Response: Formulation, Solution, and Implementation</v>
      </c>
      <c r="C64">
        <v>30</v>
      </c>
      <c r="D64" t="str">
        <f>INDEX('Question context'!$D$2:$D$49,MATCH($C64,'Question context'!$C$2:$C$49,0))</f>
        <v>How can system performance requirements be translated into reliable new technology solutions? </v>
      </c>
      <c r="E64">
        <f>CHOOSE(N(INDEX('Question context'!$E$2:$Y$49,MATCH($C64,'Question context'!$C$2:$C$49,0),MATCH($A64,'Question context'!$E$1:$Y$1,0)))+1,10,30,50,60,80,90)</f>
        <v>50</v>
      </c>
      <c r="F64" t="str">
        <f t="shared" si="0"/>
        <v>Moderate</v>
      </c>
      <c r="H64" t="s">
        <v>575</v>
      </c>
    </row>
    <row r="65" spans="1:8" x14ac:dyDescent="0.25">
      <c r="A65">
        <v>281</v>
      </c>
      <c r="B65" t="str">
        <f>IFERROR(INDEX('Abstracts List'!$B:$B,MATCH($A65,'Abstracts List'!$A:$A,0)),"")</f>
        <v>Minimum Energy Demands of Energy Storages for Fast Frequency Response: Formulation, Solution, and Implementation</v>
      </c>
      <c r="C65">
        <v>33</v>
      </c>
      <c r="D65" t="str">
        <f>INDEX('Question context'!$D$2:$D$49,MATCH($C65,'Question context'!$C$2:$C$49,0))</f>
        <v>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E65">
        <f>CHOOSE(N(INDEX('Question context'!$E$2:$Y$49,MATCH($C65,'Question context'!$C$2:$C$49,0),MATCH($A65,'Question context'!$E$1:$Y$1,0)))+1,10,30,50,60,80,90)</f>
        <v>50</v>
      </c>
      <c r="F65" t="str">
        <f t="shared" si="0"/>
        <v>Moderate</v>
      </c>
      <c r="H65" t="s">
        <v>575</v>
      </c>
    </row>
    <row r="66" spans="1:8" x14ac:dyDescent="0.25">
      <c r="A66">
        <v>281</v>
      </c>
      <c r="B66" t="str">
        <f>IFERROR(INDEX('Abstracts List'!$B:$B,MATCH($A66,'Abstracts List'!$A:$A,0)),"")</f>
        <v>Minimum Energy Demands of Energy Storages for Fast Frequency Response: Formulation, Solution, and Implementation</v>
      </c>
      <c r="C66">
        <v>34</v>
      </c>
      <c r="D66" t="str">
        <f>INDEX('Question context'!$D$2:$D$49,MATCH($C66,'Question context'!$C$2:$C$49,0))</f>
        <v>What methods could determine the need, sufficiency, and locational nature of IBR voltage control and system strength services for a given area? </v>
      </c>
      <c r="E66">
        <f>CHOOSE(N(INDEX('Question context'!$E$2:$Y$49,MATCH($C66,'Question context'!$C$2:$C$49,0),MATCH($A66,'Question context'!$E$1:$Y$1,0)))+1,10,30,50,60,80,90)</f>
        <v>30</v>
      </c>
      <c r="F66" t="str">
        <f t="shared" ref="F66:F119" si="1">IF(E66&gt;=70,"High",IF(E66&gt;=40,"Moderate","Low"))</f>
        <v>Low</v>
      </c>
      <c r="H66" t="s">
        <v>575</v>
      </c>
    </row>
    <row r="67" spans="1:8" x14ac:dyDescent="0.25">
      <c r="A67">
        <v>281</v>
      </c>
      <c r="B67" t="str">
        <f>IFERROR(INDEX('Abstracts List'!$B:$B,MATCH($A67,'Abstracts List'!$A:$A,0)),"")</f>
        <v>Minimum Energy Demands of Energy Storages for Fast Frequency Response: Formulation, Solution, and Implementation</v>
      </c>
      <c r="C67">
        <v>35</v>
      </c>
      <c r="D67" t="str">
        <f>INDEX('Question context'!$D$2:$D$49,MATCH($C67,'Question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67">
        <f>CHOOSE(N(INDEX('Question context'!$E$2:$Y$49,MATCH($C67,'Question context'!$C$2:$C$49,0),MATCH($A67,'Question context'!$E$1:$Y$1,0)))+1,10,30,50,60,80,90)</f>
        <v>50</v>
      </c>
      <c r="F67" t="str">
        <f t="shared" si="1"/>
        <v>Moderate</v>
      </c>
      <c r="H67" t="s">
        <v>575</v>
      </c>
    </row>
    <row r="68" spans="1:8" x14ac:dyDescent="0.25">
      <c r="A68">
        <v>281</v>
      </c>
      <c r="B68" t="str">
        <f>IFERROR(INDEX('Abstracts List'!$B:$B,MATCH($A68,'Abstracts List'!$A:$A,0)),"")</f>
        <v>Minimum Energy Demands of Energy Storages for Fast Frequency Response: Formulation, Solution, and Implementation</v>
      </c>
      <c r="C68">
        <v>36</v>
      </c>
      <c r="D68" t="str">
        <f>INDEX('Question context'!$D$2:$D$49,MATCH($C68,'Question context'!$C$2:$C$49,0))</f>
        <v>What system services can be designed to enable response from IBRs that can be a substitute for inertia (i.e. very fast frequency response)?  </v>
      </c>
      <c r="E68">
        <f>CHOOSE(N(INDEX('Question context'!$E$2:$Y$49,MATCH($C68,'Question context'!$C$2:$C$49,0),MATCH($A68,'Question context'!$E$1:$Y$1,0)))+1,10,30,50,60,80,90)</f>
        <v>60</v>
      </c>
      <c r="F68" t="str">
        <f t="shared" si="1"/>
        <v>Moderate</v>
      </c>
      <c r="H68" t="s">
        <v>575</v>
      </c>
    </row>
    <row r="69" spans="1:8" x14ac:dyDescent="0.25">
      <c r="A69">
        <v>241</v>
      </c>
      <c r="B69" t="str">
        <f>IFERROR(INDEX('Abstracts List'!$B:$B,MATCH($A69,'Abstracts List'!$A:$A,0)),"")</f>
        <v>Adaptive Weighted Combination Approach for Wind Power Forecast Based on Deep Deterministic Policy Gradient Method</v>
      </c>
      <c r="C69">
        <v>27</v>
      </c>
      <c r="D69" t="str">
        <f>INDEX('Question context'!$D$2:$D$49,MATCH($C69,'Question context'!$C$2:$C$49,0))</f>
        <v>How can risk-based methods (e.g. probabilistic forecasting techniques) be better incorporated into operational decision-support tools and used consistently across multiple stages (e.g., real-time, day ahead, intraday planning)?</v>
      </c>
      <c r="E69">
        <f>CHOOSE(N(INDEX('Question context'!$E$2:$Y$49,MATCH($C69,'Question context'!$C$2:$C$49,0),MATCH($A69,'Question context'!$E$1:$Y$1,0)))+1,10,30,50,60,80,90)</f>
        <v>30</v>
      </c>
      <c r="F69" t="str">
        <f t="shared" si="1"/>
        <v>Low</v>
      </c>
      <c r="H69" t="s">
        <v>575</v>
      </c>
    </row>
    <row r="70" spans="1:8" x14ac:dyDescent="0.25">
      <c r="A70">
        <v>94</v>
      </c>
      <c r="B70" t="str">
        <f>IFERROR(INDEX('Abstracts List'!$B:$B,MATCH($A70,'Abstracts List'!$A:$A,0)),"")</f>
        <v>An AC-Feasible Linear Model in Distribution Networks With Energy Storage</v>
      </c>
      <c r="C70">
        <v>12</v>
      </c>
      <c r="D70" t="str">
        <f>INDEX('Question context'!$D$2:$D$49,MATCH($C70,'Question context'!$C$2:$C$49,0))</f>
        <v>What mechanisms and appropriate aggregate DER representations and data are necessary to account for DERs in system-wide operation and planning, and in techno economic evaluation?</v>
      </c>
      <c r="E70">
        <f>CHOOSE(N(INDEX('Question context'!$E$2:$Y$49,MATCH($C70,'Question context'!$C$2:$C$49,0),MATCH($A70,'Question context'!$E$1:$Y$1,0)))+1,10,30,50,60,80,90)</f>
        <v>30</v>
      </c>
      <c r="F70" t="str">
        <f t="shared" si="1"/>
        <v>Low</v>
      </c>
      <c r="H70" t="s">
        <v>575</v>
      </c>
    </row>
    <row r="71" spans="1:8" x14ac:dyDescent="0.25">
      <c r="A71">
        <v>94</v>
      </c>
      <c r="B71" t="str">
        <f>IFERROR(INDEX('Abstracts List'!$B:$B,MATCH($A71,'Abstracts List'!$A:$A,0)),"")</f>
        <v>An AC-Feasible Linear Model in Distribution Networks With Energy Storage</v>
      </c>
      <c r="C71">
        <v>13</v>
      </c>
      <c r="D71" t="str">
        <f>INDEX('Question context'!$D$2:$D$49,MATCH($C71,'Question context'!$C$2:$C$49,0))</f>
        <v>How can system operators quantify the bulk-level energy and service opportunities from DER, and how can these services be shared among distribution operators, bulk operators, aggregators and (where applicable) customers?</v>
      </c>
      <c r="E71">
        <f>CHOOSE(N(INDEX('Question context'!$E$2:$Y$49,MATCH($C71,'Question context'!$C$2:$C$49,0),MATCH($A71,'Question context'!$E$1:$Y$1,0)))+1,10,30,50,60,80,90)</f>
        <v>30</v>
      </c>
      <c r="F71" t="str">
        <f t="shared" si="1"/>
        <v>Low</v>
      </c>
      <c r="H71" t="s">
        <v>575</v>
      </c>
    </row>
    <row r="72" spans="1:8" x14ac:dyDescent="0.25">
      <c r="A72">
        <v>94</v>
      </c>
      <c r="B72" t="str">
        <f>IFERROR(INDEX('Abstracts List'!$B:$B,MATCH($A72,'Abstracts List'!$A:$A,0)),"")</f>
        <v>An AC-Feasible Linear Model in Distribution Networks With Energy Storage</v>
      </c>
      <c r="C72">
        <v>15</v>
      </c>
      <c r="D72" t="str">
        <f>INDEX('Question context'!$D$2:$D$49,MATCH($C72,'Question context'!$C$2:$C$49,0))</f>
        <v>What aggregate quantities must be monitored, screened, and validated to ensure reliable service provision from different DER categories and at what
temporal and/or spatial resolution must these processes occur?</v>
      </c>
      <c r="E72">
        <f>CHOOSE(N(INDEX('Question context'!$E$2:$Y$49,MATCH($C72,'Question context'!$C$2:$C$49,0),MATCH($A72,'Question context'!$E$1:$Y$1,0)))+1,10,30,50,60,80,90)</f>
        <v>50</v>
      </c>
      <c r="F72" t="str">
        <f t="shared" si="1"/>
        <v>Moderate</v>
      </c>
      <c r="H72" t="s">
        <v>575</v>
      </c>
    </row>
    <row r="73" spans="1:8" x14ac:dyDescent="0.25">
      <c r="A73">
        <v>94</v>
      </c>
      <c r="B73" t="str">
        <f>IFERROR(INDEX('Abstracts List'!$B:$B,MATCH($A73,'Abstracts List'!$A:$A,0)),"")</f>
        <v>An AC-Feasible Linear Model in Distribution Networks With Energy Storage</v>
      </c>
      <c r="C73">
        <v>21</v>
      </c>
      <c r="D73" t="str">
        <f>INDEX('Question context'!$D$2:$D$49,MATCH($C73,'Question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73">
        <f>CHOOSE(N(INDEX('Question context'!$E$2:$Y$49,MATCH($C73,'Question context'!$C$2:$C$49,0),MATCH($A73,'Question context'!$E$1:$Y$1,0)))+1,10,30,50,60,80,90)</f>
        <v>50</v>
      </c>
      <c r="F73" t="str">
        <f t="shared" si="1"/>
        <v>Moderate</v>
      </c>
      <c r="H73" t="s">
        <v>575</v>
      </c>
    </row>
    <row r="74" spans="1:8" x14ac:dyDescent="0.25">
      <c r="A74">
        <v>94</v>
      </c>
      <c r="B74" t="str">
        <f>IFERROR(INDEX('Abstracts List'!$B:$B,MATCH($A74,'Abstracts List'!$A:$A,0)),"")</f>
        <v>An AC-Feasible Linear Model in Distribution Networks With Energy Storage</v>
      </c>
      <c r="C74">
        <v>29</v>
      </c>
      <c r="D74" t="str">
        <f>INDEX('Question context'!$D$2:$D$49,MATCH($C74,'Question context'!$C$2:$C$49,0))</f>
        <v>What are the needs of a power system expressed in technologically neutral form and how do these needs map to services that any resource (including data centers, other IBRs, DERs, high-voltage direct current links, etc.) can provide? </v>
      </c>
      <c r="E74">
        <f>CHOOSE(N(INDEX('Question context'!$E$2:$Y$49,MATCH($C74,'Question context'!$C$2:$C$49,0),MATCH($A74,'Question context'!$E$1:$Y$1,0)))+1,10,30,50,60,80,90)</f>
        <v>50</v>
      </c>
      <c r="F74" t="str">
        <f t="shared" si="1"/>
        <v>Moderate</v>
      </c>
      <c r="H74" t="s">
        <v>575</v>
      </c>
    </row>
    <row r="75" spans="1:8" x14ac:dyDescent="0.25">
      <c r="A75">
        <v>94</v>
      </c>
      <c r="B75" t="str">
        <f>IFERROR(INDEX('Abstracts List'!$B:$B,MATCH($A75,'Abstracts List'!$A:$A,0)),"")</f>
        <v>An AC-Feasible Linear Model in Distribution Networks With Energy Storage</v>
      </c>
      <c r="C75">
        <v>35</v>
      </c>
      <c r="D75" t="str">
        <f>INDEX('Question context'!$D$2:$D$49,MATCH($C75,'Question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75">
        <f>CHOOSE(N(INDEX('Question context'!$E$2:$Y$49,MATCH($C75,'Question context'!$C$2:$C$49,0),MATCH($A75,'Question context'!$E$1:$Y$1,0)))+1,10,30,50,60,80,90)</f>
        <v>30</v>
      </c>
      <c r="F75" t="str">
        <f t="shared" si="1"/>
        <v>Low</v>
      </c>
      <c r="H75" t="s">
        <v>575</v>
      </c>
    </row>
    <row r="76" spans="1:8" x14ac:dyDescent="0.25">
      <c r="A76">
        <v>94</v>
      </c>
      <c r="B76" t="str">
        <f>IFERROR(INDEX('Abstracts List'!$B:$B,MATCH($A76,'Abstracts List'!$A:$A,0)),"")</f>
        <v>An AC-Feasible Linear Model in Distribution Networks With Energy Storage</v>
      </c>
      <c r="C76">
        <v>40</v>
      </c>
      <c r="D76" t="str">
        <f>INDEX('Question context'!$D$2:$D$49,MATCH($C76,'Question context'!$C$2:$C$49,0))</f>
        <v>What studies and metrics are required to evaluate resource adequacy with hybrid plants (e.g., photovoltaics-plus-storage) and virtual power plants? </v>
      </c>
      <c r="E76">
        <f>CHOOSE(N(INDEX('Question context'!$E$2:$Y$49,MATCH($C76,'Question context'!$C$2:$C$49,0),MATCH($A76,'Question context'!$E$1:$Y$1,0)))+1,10,30,50,60,80,90)</f>
        <v>30</v>
      </c>
      <c r="F76" t="str">
        <f t="shared" si="1"/>
        <v>Low</v>
      </c>
      <c r="H76" t="s">
        <v>575</v>
      </c>
    </row>
    <row r="77" spans="1:8" x14ac:dyDescent="0.25">
      <c r="A77">
        <v>94</v>
      </c>
      <c r="B77" t="str">
        <f>IFERROR(INDEX('Abstracts List'!$B:$B,MATCH($A77,'Abstracts List'!$A:$A,0)),"")</f>
        <v>An AC-Feasible Linear Model in Distribution Networks With Energy Storage</v>
      </c>
      <c r="C77">
        <v>42</v>
      </c>
      <c r="D77" t="str">
        <f>INDEX('Question context'!$D$2:$D$49,MATCH($C77,'Question context'!$C$2:$C$49,0))</f>
        <v>What additional planning models and methods are needed to plan for various levels of uncertainty and no-regrets investments in a paradigm of increasing electrification and growing IBR and DER penetrations? </v>
      </c>
      <c r="E77">
        <f>CHOOSE(N(INDEX('Question context'!$E$2:$Y$49,MATCH($C77,'Question context'!$C$2:$C$49,0),MATCH($A77,'Question context'!$E$1:$Y$1,0)))+1,10,30,50,60,80,90)</f>
        <v>30</v>
      </c>
      <c r="F77" t="str">
        <f t="shared" si="1"/>
        <v>Low</v>
      </c>
      <c r="H77" t="s">
        <v>575</v>
      </c>
    </row>
    <row r="78" spans="1:8" x14ac:dyDescent="0.25">
      <c r="A78">
        <v>94</v>
      </c>
      <c r="B78" t="str">
        <f>IFERROR(INDEX('Abstracts List'!$B:$B,MATCH($A78,'Abstracts List'!$A:$A,0)),"")</f>
        <v>An AC-Feasible Linear Model in Distribution Networks With Energy Storage</v>
      </c>
      <c r="C78">
        <v>43</v>
      </c>
      <c r="D78" t="str">
        <f>INDEX('Question context'!$D$2:$D$49,MATCH($C78,'Question context'!$C$2:$C$49,0))</f>
        <v>What changes can be incorporated into the transmission planning process, especially inter-regional planning, to unlock multi-value system benefits and accommodate new drivers of uncertainty (e.g., large growth due to electrification or low growth due to increased use of DERs)? </v>
      </c>
      <c r="E78">
        <f>CHOOSE(N(INDEX('Question context'!$E$2:$Y$49,MATCH($C78,'Question context'!$C$2:$C$49,0),MATCH($A78,'Question context'!$E$1:$Y$1,0)))+1,10,30,50,60,80,90)</f>
        <v>30</v>
      </c>
      <c r="F78" t="str">
        <f t="shared" si="1"/>
        <v>Low</v>
      </c>
      <c r="H78" t="s">
        <v>575</v>
      </c>
    </row>
    <row r="79" spans="1:8" x14ac:dyDescent="0.25">
      <c r="A79">
        <v>44</v>
      </c>
      <c r="B79" t="str">
        <f>IFERROR(INDEX('Abstracts List'!$B:$B,MATCH($A79,'Abstracts List'!$A:$A,0)),"")</f>
        <v>Hierarchical Control Strategy for Effective Virtual Frequency Responses of Multiple WPPs</v>
      </c>
      <c r="C79">
        <v>3</v>
      </c>
      <c r="D79" t="str">
        <f>INDEX('Question context'!$D$2:$D$49,MATCH($C79,'Question context'!$C$2:$C$49,0))</f>
        <v xml:space="preserve">How could the IBR control paradigm change from replicating synchronous machines to exploiting wider IBR flexibility without introducing integration challenges during the transition? </v>
      </c>
      <c r="E79">
        <f>CHOOSE(N(INDEX('Question context'!$E$2:$Y$49,MATCH($C79,'Question context'!$C$2:$C$49,0),MATCH($A79,'Question context'!$E$1:$Y$1,0)))+1,10,30,50,60,80,90)</f>
        <v>30</v>
      </c>
      <c r="F79" t="str">
        <f t="shared" si="1"/>
        <v>Low</v>
      </c>
      <c r="H79" t="s">
        <v>575</v>
      </c>
    </row>
    <row r="80" spans="1:8" x14ac:dyDescent="0.25">
      <c r="A80">
        <v>44</v>
      </c>
      <c r="B80" t="str">
        <f>IFERROR(INDEX('Abstracts List'!$B:$B,MATCH($A80,'Abstracts List'!$A:$A,0)),"")</f>
        <v>Hierarchical Control Strategy for Effective Virtual Frequency Responses of Multiple WPPs</v>
      </c>
      <c r="C80">
        <v>4</v>
      </c>
      <c r="D80" t="str">
        <f>INDEX('Question context'!$D$2:$D$49,MATCH($C80,'Question context'!$C$2:$C$49,0))</f>
        <v xml:space="preserve">What are the appropriate inverter capabilities and, consequently, control design methods for operation in grids with high percentages of IBRs, and are standard configurations and combinations of services helpful in simplifying operational decision-making? </v>
      </c>
      <c r="E80">
        <f>CHOOSE(N(INDEX('Question context'!$E$2:$Y$49,MATCH($C80,'Question context'!$C$2:$C$49,0),MATCH($A80,'Question context'!$E$1:$Y$1,0)))+1,10,30,50,60,80,90)</f>
        <v>50</v>
      </c>
      <c r="F80" t="str">
        <f t="shared" si="1"/>
        <v>Moderate</v>
      </c>
      <c r="H80" t="s">
        <v>575</v>
      </c>
    </row>
    <row r="81" spans="1:8" x14ac:dyDescent="0.25">
      <c r="A81">
        <v>44</v>
      </c>
      <c r="B81" t="str">
        <f>IFERROR(INDEX('Abstracts List'!$B:$B,MATCH($A81,'Abstracts List'!$A:$A,0)),"")</f>
        <v>Hierarchical Control Strategy for Effective Virtual Frequency Responses of Multiple WPPs</v>
      </c>
      <c r="C81">
        <v>30</v>
      </c>
      <c r="D81" t="str">
        <f>INDEX('Question context'!$D$2:$D$49,MATCH($C81,'Question context'!$C$2:$C$49,0))</f>
        <v>How can system performance requirements be translated into reliable new technology solutions? </v>
      </c>
      <c r="E81">
        <f>CHOOSE(N(INDEX('Question context'!$E$2:$Y$49,MATCH($C81,'Question context'!$C$2:$C$49,0),MATCH($A81,'Question context'!$E$1:$Y$1,0)))+1,10,30,50,60,80,90)</f>
        <v>60</v>
      </c>
      <c r="F81" t="str">
        <f t="shared" si="1"/>
        <v>Moderate</v>
      </c>
      <c r="H81" t="s">
        <v>575</v>
      </c>
    </row>
    <row r="82" spans="1:8" x14ac:dyDescent="0.25">
      <c r="A82">
        <v>44</v>
      </c>
      <c r="B82" t="str">
        <f>IFERROR(INDEX('Abstracts List'!$B:$B,MATCH($A82,'Abstracts List'!$A:$A,0)),"")</f>
        <v>Hierarchical Control Strategy for Effective Virtual Frequency Responses of Multiple WPPs</v>
      </c>
      <c r="C82">
        <v>33</v>
      </c>
      <c r="D82" t="str">
        <f>INDEX('Question context'!$D$2:$D$49,MATCH($C82,'Question context'!$C$2:$C$49,0))</f>
        <v>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E82">
        <f>CHOOSE(N(INDEX('Question context'!$E$2:$Y$49,MATCH($C82,'Question context'!$C$2:$C$49,0),MATCH($A82,'Question context'!$E$1:$Y$1,0)))+1,10,30,50,60,80,90)</f>
        <v>30</v>
      </c>
      <c r="F82" t="str">
        <f t="shared" si="1"/>
        <v>Low</v>
      </c>
      <c r="H82" t="s">
        <v>575</v>
      </c>
    </row>
    <row r="83" spans="1:8" x14ac:dyDescent="0.25">
      <c r="A83">
        <v>44</v>
      </c>
      <c r="B83" t="str">
        <f>IFERROR(INDEX('Abstracts List'!$B:$B,MATCH($A83,'Abstracts List'!$A:$A,0)),"")</f>
        <v>Hierarchical Control Strategy for Effective Virtual Frequency Responses of Multiple WPPs</v>
      </c>
      <c r="C83">
        <v>35</v>
      </c>
      <c r="D83" t="str">
        <f>INDEX('Question context'!$D$2:$D$49,MATCH($C83,'Question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83">
        <f>CHOOSE(N(INDEX('Question context'!$E$2:$Y$49,MATCH($C83,'Question context'!$C$2:$C$49,0),MATCH($A83,'Question context'!$E$1:$Y$1,0)))+1,10,30,50,60,80,90)</f>
        <v>50</v>
      </c>
      <c r="F83" t="str">
        <f t="shared" si="1"/>
        <v>Moderate</v>
      </c>
      <c r="H83" t="s">
        <v>575</v>
      </c>
    </row>
    <row r="84" spans="1:8" x14ac:dyDescent="0.25">
      <c r="A84">
        <v>44</v>
      </c>
      <c r="B84" t="str">
        <f>IFERROR(INDEX('Abstracts List'!$B:$B,MATCH($A84,'Abstracts List'!$A:$A,0)),"")</f>
        <v>Hierarchical Control Strategy for Effective Virtual Frequency Responses of Multiple WPPs</v>
      </c>
      <c r="C84">
        <v>36</v>
      </c>
      <c r="D84" t="str">
        <f>INDEX('Question context'!$D$2:$D$49,MATCH($C84,'Question context'!$C$2:$C$49,0))</f>
        <v>What system services can be designed to enable response from IBRs that can be a substitute for inertia (i.e. very fast frequency response)?  </v>
      </c>
      <c r="E84">
        <f>CHOOSE(N(INDEX('Question context'!$E$2:$Y$49,MATCH($C84,'Question context'!$C$2:$C$49,0),MATCH($A84,'Question context'!$E$1:$Y$1,0)))+1,10,30,50,60,80,90)</f>
        <v>60</v>
      </c>
      <c r="F84" t="str">
        <f t="shared" si="1"/>
        <v>Moderate</v>
      </c>
      <c r="H84" t="s">
        <v>575</v>
      </c>
    </row>
    <row r="85" spans="1:8" x14ac:dyDescent="0.25">
      <c r="A85">
        <v>44</v>
      </c>
      <c r="B85" t="str">
        <f>IFERROR(INDEX('Abstracts List'!$B:$B,MATCH($A85,'Abstracts List'!$A:$A,0)),"")</f>
        <v>Hierarchical Control Strategy for Effective Virtual Frequency Responses of Multiple WPPs</v>
      </c>
      <c r="C85">
        <v>42</v>
      </c>
      <c r="D85" t="str">
        <f>INDEX('Question context'!$D$2:$D$49,MATCH($C85,'Question context'!$C$2:$C$49,0))</f>
        <v>What additional planning models and methods are needed to plan for various levels of uncertainty and no-regrets investments in a paradigm of increasing electrification and growing IBR and DER penetrations? </v>
      </c>
      <c r="E85">
        <f>CHOOSE(N(INDEX('Question context'!$E$2:$Y$49,MATCH($C85,'Question context'!$C$2:$C$49,0),MATCH($A85,'Question context'!$E$1:$Y$1,0)))+1,10,30,50,60,80,90)</f>
        <v>30</v>
      </c>
      <c r="F85" t="str">
        <f t="shared" si="1"/>
        <v>Low</v>
      </c>
      <c r="H85" t="s">
        <v>575</v>
      </c>
    </row>
    <row r="86" spans="1:8" x14ac:dyDescent="0.25">
      <c r="A86">
        <v>174</v>
      </c>
      <c r="B86" t="str">
        <f>IFERROR(INDEX('Abstracts List'!$B:$B,MATCH($A86,'Abstracts List'!$A:$A,0)),"")</f>
        <v>Chance-Constrained Optimization Based PV Hosting Capacity Calculation Using General Polynomial Chaos</v>
      </c>
      <c r="C86">
        <v>42</v>
      </c>
      <c r="D86" t="str">
        <f>INDEX('Question context'!$D$2:$D$49,MATCH($C86,'Question context'!$C$2:$C$49,0))</f>
        <v>What additional planning models and methods are needed to plan for various levels of uncertainty and no-regrets investments in a paradigm of increasing electrification and growing IBR and DER penetrations? </v>
      </c>
      <c r="E86">
        <f>CHOOSE(N(INDEX('Question context'!$E$2:$Y$49,MATCH($C86,'Question context'!$C$2:$C$49,0),MATCH($A86,'Question context'!$E$1:$Y$1,0)))+1,10,30,50,60,80,90)</f>
        <v>50</v>
      </c>
      <c r="F86" t="str">
        <f t="shared" si="1"/>
        <v>Moderate</v>
      </c>
      <c r="H86" t="s">
        <v>575</v>
      </c>
    </row>
    <row r="87" spans="1:8" x14ac:dyDescent="0.25">
      <c r="A87">
        <v>194</v>
      </c>
      <c r="B87" t="str">
        <f>IFERROR(INDEX('Abstracts List'!$B:$B,MATCH($A87,'Abstracts List'!$A:$A,0)),"")</f>
        <v>Analysis of Long-Term Indicators in the British Balancing Market</v>
      </c>
      <c r="C87">
        <v>35</v>
      </c>
      <c r="D87" t="str">
        <f>INDEX('Question context'!$D$2:$D$49,MATCH($C87,'Question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87">
        <f>CHOOSE(N(INDEX('Question context'!$E$2:$Y$49,MATCH($C87,'Question context'!$C$2:$C$49,0),MATCH($A87,'Question context'!$E$1:$Y$1,0)))+1,10,30,50,60,80,90)</f>
        <v>30</v>
      </c>
      <c r="F87" t="str">
        <f t="shared" si="1"/>
        <v>Low</v>
      </c>
      <c r="H87" t="s">
        <v>575</v>
      </c>
    </row>
    <row r="88" spans="1:8" x14ac:dyDescent="0.25">
      <c r="A88">
        <v>212</v>
      </c>
      <c r="B88" t="str">
        <f>IFERROR(INDEX('Abstracts List'!$B:$B,MATCH($A88,'Abstracts List'!$A:$A,0)),"")</f>
        <v>Comparative Analysis of the Power Output Capabilities of Grid-Following and Grid-Forming Inverters Considering Static, Dynamic, and Thermal Limitations</v>
      </c>
      <c r="C88">
        <v>4</v>
      </c>
      <c r="D88" t="str">
        <f>INDEX('Question context'!$D$2:$D$49,MATCH($C88,'Question context'!$C$2:$C$49,0))</f>
        <v xml:space="preserve">What are the appropriate inverter capabilities and, consequently, control design methods for operation in grids with high percentages of IBRs, and are standard configurations and combinations of services helpful in simplifying operational decision-making? </v>
      </c>
      <c r="E88">
        <f>CHOOSE(N(INDEX('Question context'!$E$2:$Y$49,MATCH($C88,'Question context'!$C$2:$C$49,0),MATCH($A88,'Question context'!$E$1:$Y$1,0)))+1,10,30,50,60,80,90)</f>
        <v>50</v>
      </c>
      <c r="F88" t="str">
        <f t="shared" si="1"/>
        <v>Moderate</v>
      </c>
      <c r="H88" t="s">
        <v>575</v>
      </c>
    </row>
    <row r="89" spans="1:8" x14ac:dyDescent="0.25">
      <c r="A89">
        <v>212</v>
      </c>
      <c r="B89" t="str">
        <f>IFERROR(INDEX('Abstracts List'!$B:$B,MATCH($A89,'Abstracts List'!$A:$A,0)),"")</f>
        <v>Comparative Analysis of the Power Output Capabilities of Grid-Following and Grid-Forming Inverters Considering Static, Dynamic, and Thermal Limitations</v>
      </c>
      <c r="C89">
        <v>9</v>
      </c>
      <c r="D89" t="str">
        <f>INDEX('Question context'!$D$2:$D$49,MATCH($C89,'Question context'!$C$2:$C$49,0))</f>
        <v xml:space="preserve">What analytical tools and models should be provided to planners and operators for robust assessment of system performance in IBR-dominated power grids? </v>
      </c>
      <c r="E89">
        <f>CHOOSE(N(INDEX('Question context'!$E$2:$Y$49,MATCH($C89,'Question context'!$C$2:$C$49,0),MATCH($A89,'Question context'!$E$1:$Y$1,0)))+1,10,30,50,60,80,90)</f>
        <v>50</v>
      </c>
      <c r="F89" t="str">
        <f t="shared" si="1"/>
        <v>Moderate</v>
      </c>
      <c r="H89" t="s">
        <v>575</v>
      </c>
    </row>
    <row r="90" spans="1:8" x14ac:dyDescent="0.25">
      <c r="A90">
        <v>212</v>
      </c>
      <c r="B90" t="str">
        <f>IFERROR(INDEX('Abstracts List'!$B:$B,MATCH($A90,'Abstracts List'!$A:$A,0)),"")</f>
        <v>Comparative Analysis of the Power Output Capabilities of Grid-Following and Grid-Forming Inverters Considering Static, Dynamic, and Thermal Limitations</v>
      </c>
      <c r="C90">
        <v>10</v>
      </c>
      <c r="D90" t="str">
        <f>INDEX('Question context'!$D$2:$D$49,MATCH($C90,'Question context'!$C$2:$C$49,0))</f>
        <v xml:space="preserve">What methods and tools should be used in planning and/or operation to determine the appropriate mix, location, and capabilities of grid-forming and grid-following inverters to mitigate stability problems for a given power system? </v>
      </c>
      <c r="E90">
        <f>CHOOSE(N(INDEX('Question context'!$E$2:$Y$49,MATCH($C90,'Question context'!$C$2:$C$49,0),MATCH($A90,'Question context'!$E$1:$Y$1,0)))+1,10,30,50,60,80,90)</f>
        <v>60</v>
      </c>
      <c r="F90" t="str">
        <f t="shared" si="1"/>
        <v>Moderate</v>
      </c>
      <c r="H90" t="s">
        <v>575</v>
      </c>
    </row>
    <row r="91" spans="1:8" x14ac:dyDescent="0.25">
      <c r="A91">
        <v>15</v>
      </c>
      <c r="B91" t="str">
        <f>IFERROR(INDEX('Abstracts List'!$B:$B,MATCH($A91,'Abstracts List'!$A:$A,0)),"")</f>
        <v>Look-Ahead Rolling Economic Dispatch Approach for Wind-Thermal-Bundled Power System Considering Dynamic Ramping and Flexible Load Transfer Strategy</v>
      </c>
      <c r="C91">
        <v>21</v>
      </c>
      <c r="D91" t="str">
        <f>INDEX('Question context'!$D$2:$D$49,MATCH($C91,'Question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91">
        <f>CHOOSE(N(INDEX('Question context'!$E$2:$Y$49,MATCH($C91,'Question context'!$C$2:$C$49,0),MATCH($A91,'Question context'!$E$1:$Y$1,0)))+1,10,30,50,60,80,90)</f>
        <v>50</v>
      </c>
      <c r="F91" t="str">
        <f t="shared" si="1"/>
        <v>Moderate</v>
      </c>
      <c r="H91" t="s">
        <v>575</v>
      </c>
    </row>
    <row r="92" spans="1:8" x14ac:dyDescent="0.25">
      <c r="A92">
        <v>15</v>
      </c>
      <c r="B92" t="str">
        <f>IFERROR(INDEX('Abstracts List'!$B:$B,MATCH($A92,'Abstracts List'!$A:$A,0)),"")</f>
        <v>Look-Ahead Rolling Economic Dispatch Approach for Wind-Thermal-Bundled Power System Considering Dynamic Ramping and Flexible Load Transfer Strategy</v>
      </c>
      <c r="C92">
        <v>26</v>
      </c>
      <c r="D92" t="str">
        <f>INDEX('Question context'!$D$2:$D$49,MATCH($C92,'Question context'!$C$2:$C$49,0))</f>
        <v>What improvements can be made to predictive tools and visualization methodologies in operational applications within the control room to support decision-making in real-time operations?</v>
      </c>
      <c r="E92">
        <f>CHOOSE(N(INDEX('Question context'!$E$2:$Y$49,MATCH($C92,'Question context'!$C$2:$C$49,0),MATCH($A92,'Question context'!$E$1:$Y$1,0)))+1,10,30,50,60,80,90)</f>
        <v>30</v>
      </c>
      <c r="F92" t="str">
        <f t="shared" si="1"/>
        <v>Low</v>
      </c>
      <c r="H92" t="s">
        <v>575</v>
      </c>
    </row>
    <row r="93" spans="1:8" x14ac:dyDescent="0.25">
      <c r="A93">
        <v>15</v>
      </c>
      <c r="B93" t="str">
        <f>IFERROR(INDEX('Abstracts List'!$B:$B,MATCH($A93,'Abstracts List'!$A:$A,0)),"")</f>
        <v>Look-Ahead Rolling Economic Dispatch Approach for Wind-Thermal-Bundled Power System Considering Dynamic Ramping and Flexible Load Transfer Strategy</v>
      </c>
      <c r="C93">
        <v>35</v>
      </c>
      <c r="D93" t="str">
        <f>INDEX('Question context'!$D$2:$D$49,MATCH($C93,'Question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93">
        <f>CHOOSE(N(INDEX('Question context'!$E$2:$Y$49,MATCH($C93,'Question context'!$C$2:$C$49,0),MATCH($A93,'Question context'!$E$1:$Y$1,0)))+1,10,30,50,60,80,90)</f>
        <v>30</v>
      </c>
      <c r="F93" t="str">
        <f t="shared" si="1"/>
        <v>Low</v>
      </c>
      <c r="H93" t="s">
        <v>575</v>
      </c>
    </row>
    <row r="94" spans="1:8" x14ac:dyDescent="0.25">
      <c r="A94">
        <v>231</v>
      </c>
      <c r="B94" t="str">
        <f>IFERROR(INDEX('Abstracts List'!$B:$B,MATCH($A94,'Abstracts List'!$A:$A,0)),"")</f>
        <v>Centralized Distributionally Robust Chance-Constrained Dispatch of Integrated Transmission-Distribution Systems</v>
      </c>
      <c r="C94">
        <v>12</v>
      </c>
      <c r="D94" t="str">
        <f>INDEX('Question context'!$D$2:$D$49,MATCH($C94,'Question context'!$C$2:$C$49,0))</f>
        <v>What mechanisms and appropriate aggregate DER representations and data are necessary to account for DERs in system-wide operation and planning, and in techno economic evaluation?</v>
      </c>
      <c r="E94">
        <f>CHOOSE(N(INDEX('Question context'!$E$2:$Y$49,MATCH($C94,'Question context'!$C$2:$C$49,0),MATCH($A94,'Question context'!$E$1:$Y$1,0)))+1,10,30,50,60,80,90)</f>
        <v>60</v>
      </c>
      <c r="F94" t="str">
        <f t="shared" si="1"/>
        <v>Moderate</v>
      </c>
      <c r="H94" t="s">
        <v>575</v>
      </c>
    </row>
    <row r="95" spans="1:8" x14ac:dyDescent="0.25">
      <c r="A95">
        <v>231</v>
      </c>
      <c r="B95" t="str">
        <f>IFERROR(INDEX('Abstracts List'!$B:$B,MATCH($A95,'Abstracts List'!$A:$A,0)),"")</f>
        <v>Centralized Distributionally Robust Chance-Constrained Dispatch of Integrated Transmission-Distribution Systems</v>
      </c>
      <c r="C95">
        <v>13</v>
      </c>
      <c r="D95" t="str">
        <f>INDEX('Question context'!$D$2:$D$49,MATCH($C95,'Question context'!$C$2:$C$49,0))</f>
        <v>How can system operators quantify the bulk-level energy and service opportunities from DER, and how can these services be shared among distribution operators, bulk operators, aggregators and (where applicable) customers?</v>
      </c>
      <c r="E95">
        <f>CHOOSE(N(INDEX('Question context'!$E$2:$Y$49,MATCH($C95,'Question context'!$C$2:$C$49,0),MATCH($A95,'Question context'!$E$1:$Y$1,0)))+1,10,30,50,60,80,90)</f>
        <v>60</v>
      </c>
      <c r="F95" t="str">
        <f t="shared" si="1"/>
        <v>Moderate</v>
      </c>
      <c r="H95" t="s">
        <v>575</v>
      </c>
    </row>
    <row r="96" spans="1:8" x14ac:dyDescent="0.25">
      <c r="A96">
        <v>231</v>
      </c>
      <c r="B96" t="str">
        <f>IFERROR(INDEX('Abstracts List'!$B:$B,MATCH($A96,'Abstracts List'!$A:$A,0)),"")</f>
        <v>Centralized Distributionally Robust Chance-Constrained Dispatch of Integrated Transmission-Distribution Systems</v>
      </c>
      <c r="C96">
        <v>14</v>
      </c>
      <c r="D96" t="str">
        <f>INDEX('Question context'!$D$2:$D$49,MATCH($C96,'Question context'!$C$2:$C$49,0))</f>
        <v>How can bulk-level services provided by DER be valued as a compromise between simplicity and, for example, a complex full cost-reflective approach?</v>
      </c>
      <c r="E96">
        <f>CHOOSE(N(INDEX('Question context'!$E$2:$Y$49,MATCH($C96,'Question context'!$C$2:$C$49,0),MATCH($A96,'Question context'!$E$1:$Y$1,0)))+1,10,30,50,60,80,90)</f>
        <v>30</v>
      </c>
      <c r="F96" t="str">
        <f t="shared" si="1"/>
        <v>Low</v>
      </c>
      <c r="H96" t="s">
        <v>575</v>
      </c>
    </row>
    <row r="97" spans="1:8" x14ac:dyDescent="0.25">
      <c r="A97">
        <v>231</v>
      </c>
      <c r="B97" t="str">
        <f>IFERROR(INDEX('Abstracts List'!$B:$B,MATCH($A97,'Abstracts List'!$A:$A,0)),"")</f>
        <v>Centralized Distributionally Robust Chance-Constrained Dispatch of Integrated Transmission-Distribution Systems</v>
      </c>
      <c r="C97">
        <v>21</v>
      </c>
      <c r="D97" t="str">
        <f>INDEX('Question context'!$D$2:$D$49,MATCH($C97,'Question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97">
        <f>CHOOSE(N(INDEX('Question context'!$E$2:$Y$49,MATCH($C97,'Question context'!$C$2:$C$49,0),MATCH($A97,'Question context'!$E$1:$Y$1,0)))+1,10,30,50,60,80,90)</f>
        <v>60</v>
      </c>
      <c r="F97" t="str">
        <f t="shared" si="1"/>
        <v>Moderate</v>
      </c>
      <c r="H97" t="s">
        <v>575</v>
      </c>
    </row>
    <row r="98" spans="1:8" x14ac:dyDescent="0.25">
      <c r="A98">
        <v>231</v>
      </c>
      <c r="B98" t="str">
        <f>IFERROR(INDEX('Abstracts List'!$B:$B,MATCH($A98,'Abstracts List'!$A:$A,0)),"")</f>
        <v>Centralized Distributionally Robust Chance-Constrained Dispatch of Integrated Transmission-Distribution Systems</v>
      </c>
      <c r="C98">
        <v>33</v>
      </c>
      <c r="D98" t="str">
        <f>INDEX('Question context'!$D$2:$D$49,MATCH($C98,'Question context'!$C$2:$C$49,0))</f>
        <v>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v>
      </c>
      <c r="E98">
        <f>CHOOSE(N(INDEX('Question context'!$E$2:$Y$49,MATCH($C98,'Question context'!$C$2:$C$49,0),MATCH($A98,'Question context'!$E$1:$Y$1,0)))+1,10,30,50,60,80,90)</f>
        <v>50</v>
      </c>
      <c r="F98" t="str">
        <f t="shared" si="1"/>
        <v>Moderate</v>
      </c>
      <c r="H98" t="s">
        <v>575</v>
      </c>
    </row>
    <row r="99" spans="1:8" x14ac:dyDescent="0.25">
      <c r="A99">
        <v>231</v>
      </c>
      <c r="B99" t="str">
        <f>IFERROR(INDEX('Abstracts List'!$B:$B,MATCH($A99,'Abstracts List'!$A:$A,0)),"")</f>
        <v>Centralized Distributionally Robust Chance-Constrained Dispatch of Integrated Transmission-Distribution Systems</v>
      </c>
      <c r="C99">
        <v>35</v>
      </c>
      <c r="D99" t="str">
        <f>INDEX('Question context'!$D$2:$D$49,MATCH($C99,'Question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99">
        <f>CHOOSE(N(INDEX('Question context'!$E$2:$Y$49,MATCH($C99,'Question context'!$C$2:$C$49,0),MATCH($A99,'Question context'!$E$1:$Y$1,0)))+1,10,30,50,60,80,90)</f>
        <v>50</v>
      </c>
      <c r="F99" t="str">
        <f t="shared" si="1"/>
        <v>Moderate</v>
      </c>
      <c r="H99" t="s">
        <v>575</v>
      </c>
    </row>
    <row r="100" spans="1:8" x14ac:dyDescent="0.25">
      <c r="A100">
        <v>231</v>
      </c>
      <c r="B100" t="str">
        <f>IFERROR(INDEX('Abstracts List'!$B:$B,MATCH($A100,'Abstracts List'!$A:$A,0)),"")</f>
        <v>Centralized Distributionally Robust Chance-Constrained Dispatch of Integrated Transmission-Distribution Systems</v>
      </c>
      <c r="C100">
        <v>39</v>
      </c>
      <c r="D100" t="str">
        <f>INDEX('Question context'!$D$2:$D$49,MATCH($C100,'Question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100">
        <f>CHOOSE(N(INDEX('Question context'!$E$2:$Y$49,MATCH($C100,'Question context'!$C$2:$C$49,0),MATCH($A100,'Question context'!$E$1:$Y$1,0)))+1,10,30,50,60,80,90)</f>
        <v>50</v>
      </c>
      <c r="F100" t="str">
        <f t="shared" si="1"/>
        <v>Moderate</v>
      </c>
      <c r="H100" t="s">
        <v>575</v>
      </c>
    </row>
    <row r="101" spans="1:8" x14ac:dyDescent="0.25">
      <c r="A101">
        <v>231</v>
      </c>
      <c r="B101" t="str">
        <f>IFERROR(INDEX('Abstracts List'!$B:$B,MATCH($A101,'Abstracts List'!$A:$A,0)),"")</f>
        <v>Centralized Distributionally Robust Chance-Constrained Dispatch of Integrated Transmission-Distribution Systems</v>
      </c>
      <c r="C101">
        <v>42</v>
      </c>
      <c r="D101" t="str">
        <f>INDEX('Question context'!$D$2:$D$49,MATCH($C101,'Question context'!$C$2:$C$49,0))</f>
        <v>What additional planning models and methods are needed to plan for various levels of uncertainty and no-regrets investments in a paradigm of increasing electrification and growing IBR and DER penetrations? </v>
      </c>
      <c r="E101">
        <f>CHOOSE(N(INDEX('Question context'!$E$2:$Y$49,MATCH($C101,'Question context'!$C$2:$C$49,0),MATCH($A101,'Question context'!$E$1:$Y$1,0)))+1,10,30,50,60,80,90)</f>
        <v>50</v>
      </c>
      <c r="F101" t="str">
        <f t="shared" si="1"/>
        <v>Moderate</v>
      </c>
      <c r="H101" t="s">
        <v>575</v>
      </c>
    </row>
    <row r="102" spans="1:8" x14ac:dyDescent="0.25">
      <c r="A102">
        <v>231</v>
      </c>
      <c r="B102" t="str">
        <f>IFERROR(INDEX('Abstracts List'!$B:$B,MATCH($A102,'Abstracts List'!$A:$A,0)),"")</f>
        <v>Centralized Distributionally Robust Chance-Constrained Dispatch of Integrated Transmission-Distribution Systems</v>
      </c>
      <c r="C102">
        <v>43</v>
      </c>
      <c r="D102" t="str">
        <f>INDEX('Question context'!$D$2:$D$49,MATCH($C102,'Question context'!$C$2:$C$49,0))</f>
        <v>What changes can be incorporated into the transmission planning process, especially inter-regional planning, to unlock multi-value system benefits and accommodate new drivers of uncertainty (e.g., large growth due to electrification or low growth due to increased use of DERs)? </v>
      </c>
      <c r="E102">
        <f>CHOOSE(N(INDEX('Question context'!$E$2:$Y$49,MATCH($C102,'Question context'!$C$2:$C$49,0),MATCH($A102,'Question context'!$E$1:$Y$1,0)))+1,10,30,50,60,80,90)</f>
        <v>50</v>
      </c>
      <c r="F102" t="str">
        <f t="shared" si="1"/>
        <v>Moderate</v>
      </c>
      <c r="H102" t="s">
        <v>575</v>
      </c>
    </row>
    <row r="103" spans="1:8" x14ac:dyDescent="0.25">
      <c r="A103">
        <v>231</v>
      </c>
      <c r="B103" t="str">
        <f>IFERROR(INDEX('Abstracts List'!$B:$B,MATCH($A103,'Abstracts List'!$A:$A,0)),"")</f>
        <v>Centralized Distributionally Robust Chance-Constrained Dispatch of Integrated Transmission-Distribution Systems</v>
      </c>
      <c r="C103">
        <v>45</v>
      </c>
      <c r="D103" t="str">
        <f>INDEX('Question context'!$D$2:$D$49,MATCH($C103,'Question context'!$C$2:$C$49,0))</f>
        <v>What additional load and resource forecasting models are necessary to account for electrification, including large loads (e.g., data centers), coupling of the transportation and building sectors, and demand-side flexibility? </v>
      </c>
      <c r="E103">
        <f>CHOOSE(N(INDEX('Question context'!$E$2:$Y$49,MATCH($C103,'Question context'!$C$2:$C$49,0),MATCH($A103,'Question context'!$E$1:$Y$1,0)))+1,10,30,50,60,80,90)</f>
        <v>30</v>
      </c>
      <c r="F103" t="str">
        <f t="shared" si="1"/>
        <v>Low</v>
      </c>
      <c r="H103" t="s">
        <v>575</v>
      </c>
    </row>
    <row r="104" spans="1:8" x14ac:dyDescent="0.25">
      <c r="A104">
        <v>228</v>
      </c>
      <c r="B104" t="str">
        <f>IFERROR(INDEX('Abstracts List'!$B:$B,MATCH($A104,'Abstracts List'!$A:$A,0)),"")</f>
        <v>Reduced Voltage-Dependency by Categorical Location Information and Distance Along Street Metric for Meter-Transformer Mapping in Distribution Systems</v>
      </c>
      <c r="C104">
        <v>13</v>
      </c>
      <c r="D104" t="str">
        <f>INDEX('Question context'!$D$2:$D$49,MATCH($C104,'Question context'!$C$2:$C$49,0))</f>
        <v>How can system operators quantify the bulk-level energy and service opportunities from DER, and how can these services be shared among distribution operators, bulk operators, aggregators and (where applicable) customers?</v>
      </c>
      <c r="E104">
        <f>CHOOSE(N(INDEX('Question context'!$E$2:$Y$49,MATCH($C104,'Question context'!$C$2:$C$49,0),MATCH($A104,'Question context'!$E$1:$Y$1,0)))+1,10,30,50,60,80,90)</f>
        <v>30</v>
      </c>
      <c r="F104" t="str">
        <f t="shared" si="1"/>
        <v>Low</v>
      </c>
      <c r="H104" t="s">
        <v>575</v>
      </c>
    </row>
    <row r="105" spans="1:8" x14ac:dyDescent="0.25">
      <c r="A105">
        <v>228</v>
      </c>
      <c r="B105" t="str">
        <f>IFERROR(INDEX('Abstracts List'!$B:$B,MATCH($A105,'Abstracts List'!$A:$A,0)),"")</f>
        <v>Reduced Voltage-Dependency by Categorical Location Information and Distance Along Street Metric for Meter-Transformer Mapping in Distribution Systems</v>
      </c>
      <c r="C105">
        <v>14</v>
      </c>
      <c r="D105" t="str">
        <f>INDEX('Question context'!$D$2:$D$49,MATCH($C105,'Question context'!$C$2:$C$49,0))</f>
        <v>How can bulk-level services provided by DER be valued as a compromise between simplicity and, for example, a complex full cost-reflective approach?</v>
      </c>
      <c r="E105">
        <f>CHOOSE(N(INDEX('Question context'!$E$2:$Y$49,MATCH($C105,'Question context'!$C$2:$C$49,0),MATCH($A105,'Question context'!$E$1:$Y$1,0)))+1,10,30,50,60,80,90)</f>
        <v>30</v>
      </c>
      <c r="F105" t="str">
        <f t="shared" si="1"/>
        <v>Low</v>
      </c>
      <c r="H105" t="s">
        <v>575</v>
      </c>
    </row>
    <row r="106" spans="1:8" x14ac:dyDescent="0.25">
      <c r="A106">
        <v>228</v>
      </c>
      <c r="B106" t="str">
        <f>IFERROR(INDEX('Abstracts List'!$B:$B,MATCH($A106,'Abstracts List'!$A:$A,0)),"")</f>
        <v>Reduced Voltage-Dependency by Categorical Location Information and Distance Along Street Metric for Meter-Transformer Mapping in Distribution Systems</v>
      </c>
      <c r="C106">
        <v>15</v>
      </c>
      <c r="D106" t="str">
        <f>INDEX('Question context'!$D$2:$D$49,MATCH($C106,'Question context'!$C$2:$C$49,0))</f>
        <v>What aggregate quantities must be monitored, screened, and validated to ensure reliable service provision from different DER categories and at what
temporal and/or spatial resolution must these processes occur?</v>
      </c>
      <c r="E106">
        <f>CHOOSE(N(INDEX('Question context'!$E$2:$Y$49,MATCH($C106,'Question context'!$C$2:$C$49,0),MATCH($A106,'Question context'!$E$1:$Y$1,0)))+1,10,30,50,60,80,90)</f>
        <v>30</v>
      </c>
      <c r="F106" t="str">
        <f t="shared" si="1"/>
        <v>Low</v>
      </c>
      <c r="H106" t="s">
        <v>575</v>
      </c>
    </row>
    <row r="107" spans="1:8" x14ac:dyDescent="0.25">
      <c r="A107">
        <v>228</v>
      </c>
      <c r="B107" t="str">
        <f>IFERROR(INDEX('Abstracts List'!$B:$B,MATCH($A107,'Abstracts List'!$A:$A,0)),"")</f>
        <v>Reduced Voltage-Dependency by Categorical Location Information and Distance Along Street Metric for Meter-Transformer Mapping in Distribution Systems</v>
      </c>
      <c r="C107">
        <v>18</v>
      </c>
      <c r="D107" t="str">
        <f>INDEX('Question context'!$D$2:$D$49,MATCH($C107,'Question context'!$C$2:$C$49,0))</f>
        <v>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v>
      </c>
      <c r="E107">
        <f>CHOOSE(N(INDEX('Question context'!$E$2:$Y$49,MATCH($C107,'Question context'!$C$2:$C$49,0),MATCH($A107,'Question context'!$E$1:$Y$1,0)))+1,10,30,50,60,80,90)</f>
        <v>30</v>
      </c>
      <c r="F107" t="str">
        <f t="shared" si="1"/>
        <v>Low</v>
      </c>
      <c r="H107" t="s">
        <v>575</v>
      </c>
    </row>
    <row r="108" spans="1:8" x14ac:dyDescent="0.25">
      <c r="A108">
        <v>228</v>
      </c>
      <c r="B108" t="str">
        <f>IFERROR(INDEX('Abstracts List'!$B:$B,MATCH($A108,'Abstracts List'!$A:$A,0)),"")</f>
        <v>Reduced Voltage-Dependency by Categorical Location Information and Distance Along Street Metric for Meter-Transformer Mapping in Distribution Systems</v>
      </c>
      <c r="C108">
        <v>43</v>
      </c>
      <c r="D108" t="str">
        <f>INDEX('Question context'!$D$2:$D$49,MATCH($C108,'Question context'!$C$2:$C$49,0))</f>
        <v>What changes can be incorporated into the transmission planning process, especially inter-regional planning, to unlock multi-value system benefits and accommodate new drivers of uncertainty (e.g., large growth due to electrification or low growth due to increased use of DERs)? </v>
      </c>
      <c r="E108">
        <f>CHOOSE(N(INDEX('Question context'!$E$2:$Y$49,MATCH($C108,'Question context'!$C$2:$C$49,0),MATCH($A108,'Question context'!$E$1:$Y$1,0)))+1,10,30,50,60,80,90)</f>
        <v>30</v>
      </c>
      <c r="F108" t="str">
        <f t="shared" si="1"/>
        <v>Low</v>
      </c>
      <c r="H108" t="s">
        <v>575</v>
      </c>
    </row>
    <row r="109" spans="1:8" x14ac:dyDescent="0.25">
      <c r="A109">
        <v>45</v>
      </c>
      <c r="B109" t="str">
        <f>IFERROR(INDEX('Abstracts List'!$B:$B,MATCH($A109,'Abstracts List'!$A:$A,0)),"")</f>
        <v>Time Aggregation in Presence of Multiple Variable Energy Resources</v>
      </c>
      <c r="C109">
        <v>12</v>
      </c>
      <c r="D109" t="str">
        <f>INDEX('Question context'!$D$2:$D$49,MATCH($C109,'Question context'!$C$2:$C$49,0))</f>
        <v>What mechanisms and appropriate aggregate DER representations and data are necessary to account for DERs in system-wide operation and planning, and in techno economic evaluation?</v>
      </c>
      <c r="E109">
        <f>CHOOSE(N(INDEX('Question context'!$E$2:$Y$49,MATCH($C109,'Question context'!$C$2:$C$49,0),MATCH($A109,'Question context'!$E$1:$Y$1,0)))+1,10,30,50,60,80,90)</f>
        <v>30</v>
      </c>
      <c r="F109" t="str">
        <f t="shared" si="1"/>
        <v>Low</v>
      </c>
      <c r="H109" t="s">
        <v>575</v>
      </c>
    </row>
    <row r="110" spans="1:8" x14ac:dyDescent="0.25">
      <c r="A110">
        <v>45</v>
      </c>
      <c r="B110" t="str">
        <f>IFERROR(INDEX('Abstracts List'!$B:$B,MATCH($A110,'Abstracts List'!$A:$A,0)),"")</f>
        <v>Time Aggregation in Presence of Multiple Variable Energy Resources</v>
      </c>
      <c r="C110">
        <v>13</v>
      </c>
      <c r="D110" t="str">
        <f>INDEX('Question context'!$D$2:$D$49,MATCH($C110,'Question context'!$C$2:$C$49,0))</f>
        <v>How can system operators quantify the bulk-level energy and service opportunities from DER, and how can these services be shared among distribution operators, bulk operators, aggregators and (where applicable) customers?</v>
      </c>
      <c r="E110">
        <f>CHOOSE(N(INDEX('Question context'!$E$2:$Y$49,MATCH($C110,'Question context'!$C$2:$C$49,0),MATCH($A110,'Question context'!$E$1:$Y$1,0)))+1,10,30,50,60,80,90)</f>
        <v>30</v>
      </c>
      <c r="F110" t="str">
        <f t="shared" si="1"/>
        <v>Low</v>
      </c>
      <c r="H110" t="s">
        <v>575</v>
      </c>
    </row>
    <row r="111" spans="1:8" x14ac:dyDescent="0.25">
      <c r="A111">
        <v>45</v>
      </c>
      <c r="B111" t="str">
        <f>IFERROR(INDEX('Abstracts List'!$B:$B,MATCH($A111,'Abstracts List'!$A:$A,0)),"")</f>
        <v>Time Aggregation in Presence of Multiple Variable Energy Resources</v>
      </c>
      <c r="C111">
        <v>14</v>
      </c>
      <c r="D111" t="str">
        <f>INDEX('Question context'!$D$2:$D$49,MATCH($C111,'Question context'!$C$2:$C$49,0))</f>
        <v>How can bulk-level services provided by DER be valued as a compromise between simplicity and, for example, a complex full cost-reflective approach?</v>
      </c>
      <c r="E111">
        <f>CHOOSE(N(INDEX('Question context'!$E$2:$Y$49,MATCH($C111,'Question context'!$C$2:$C$49,0),MATCH($A111,'Question context'!$E$1:$Y$1,0)))+1,10,30,50,60,80,90)</f>
        <v>30</v>
      </c>
      <c r="F111" t="str">
        <f t="shared" si="1"/>
        <v>Low</v>
      </c>
      <c r="H111" t="s">
        <v>575</v>
      </c>
    </row>
    <row r="112" spans="1:8" x14ac:dyDescent="0.25">
      <c r="A112">
        <v>45</v>
      </c>
      <c r="B112" t="str">
        <f>IFERROR(INDEX('Abstracts List'!$B:$B,MATCH($A112,'Abstracts List'!$A:$A,0)),"")</f>
        <v>Time Aggregation in Presence of Multiple Variable Energy Resources</v>
      </c>
      <c r="C112">
        <v>15</v>
      </c>
      <c r="D112" t="str">
        <f>INDEX('Question context'!$D$2:$D$49,MATCH($C112,'Question context'!$C$2:$C$49,0))</f>
        <v>What aggregate quantities must be monitored, screened, and validated to ensure reliable service provision from different DER categories and at what
temporal and/or spatial resolution must these processes occur?</v>
      </c>
      <c r="E112">
        <f>CHOOSE(N(INDEX('Question context'!$E$2:$Y$49,MATCH($C112,'Question context'!$C$2:$C$49,0),MATCH($A112,'Question context'!$E$1:$Y$1,0)))+1,10,30,50,60,80,90)</f>
        <v>50</v>
      </c>
      <c r="F112" t="str">
        <f t="shared" si="1"/>
        <v>Moderate</v>
      </c>
      <c r="H112" t="s">
        <v>575</v>
      </c>
    </row>
    <row r="113" spans="1:8" x14ac:dyDescent="0.25">
      <c r="A113">
        <v>45</v>
      </c>
      <c r="B113" t="str">
        <f>IFERROR(INDEX('Abstracts List'!$B:$B,MATCH($A113,'Abstracts List'!$A:$A,0)),"")</f>
        <v>Time Aggregation in Presence of Multiple Variable Energy Resources</v>
      </c>
      <c r="C113">
        <v>21</v>
      </c>
      <c r="D113" t="str">
        <f>INDEX('Question context'!$D$2:$D$49,MATCH($C113,'Question context'!$C$2:$C$49,0))</f>
        <v>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v>
      </c>
      <c r="E113">
        <f>CHOOSE(N(INDEX('Question context'!$E$2:$Y$49,MATCH($C113,'Question context'!$C$2:$C$49,0),MATCH($A113,'Question context'!$E$1:$Y$1,0)))+1,10,30,50,60,80,90)</f>
        <v>50</v>
      </c>
      <c r="F113" t="str">
        <f t="shared" si="1"/>
        <v>Moderate</v>
      </c>
      <c r="H113" t="s">
        <v>575</v>
      </c>
    </row>
    <row r="114" spans="1:8" x14ac:dyDescent="0.25">
      <c r="A114">
        <v>45</v>
      </c>
      <c r="B114" t="str">
        <f>IFERROR(INDEX('Abstracts List'!$B:$B,MATCH($A114,'Abstracts List'!$A:$A,0)),"")</f>
        <v>Time Aggregation in Presence of Multiple Variable Energy Resources</v>
      </c>
      <c r="C114">
        <v>28</v>
      </c>
      <c r="D114" t="str">
        <f>INDEX('Question context'!$D$2:$D$49,MATCH($C114,'Question context'!$C$2:$C$49,0))</f>
        <v>What system services are needed across different timescales and to the extent that services coexist within the same timescale, how should these services be designed to avoid competition and overlap? </v>
      </c>
      <c r="E114">
        <f>CHOOSE(N(INDEX('Question context'!$E$2:$Y$49,MATCH($C114,'Question context'!$C$2:$C$49,0),MATCH($A114,'Question context'!$E$1:$Y$1,0)))+1,10,30,50,60,80,90)</f>
        <v>30</v>
      </c>
      <c r="F114" t="str">
        <f t="shared" si="1"/>
        <v>Low</v>
      </c>
      <c r="H114" t="s">
        <v>575</v>
      </c>
    </row>
    <row r="115" spans="1:8" x14ac:dyDescent="0.25">
      <c r="A115">
        <v>45</v>
      </c>
      <c r="B115" t="str">
        <f>IFERROR(INDEX('Abstracts List'!$B:$B,MATCH($A115,'Abstracts List'!$A:$A,0)),"")</f>
        <v>Time Aggregation in Presence of Multiple Variable Energy Resources</v>
      </c>
      <c r="C115">
        <v>29</v>
      </c>
      <c r="D115" t="str">
        <f>INDEX('Question context'!$D$2:$D$49,MATCH($C115,'Question context'!$C$2:$C$49,0))</f>
        <v>What are the needs of a power system expressed in technologically neutral form and how do these needs map to services that any resource (including data centers, other IBRs, DERs, high-voltage direct current links, etc.) can provide? </v>
      </c>
      <c r="E115">
        <f>CHOOSE(N(INDEX('Question context'!$E$2:$Y$49,MATCH($C115,'Question context'!$C$2:$C$49,0),MATCH($A115,'Question context'!$E$1:$Y$1,0)))+1,10,30,50,60,80,90)</f>
        <v>30</v>
      </c>
      <c r="F115" t="str">
        <f t="shared" si="1"/>
        <v>Low</v>
      </c>
      <c r="H115" t="s">
        <v>575</v>
      </c>
    </row>
    <row r="116" spans="1:8" x14ac:dyDescent="0.25">
      <c r="A116">
        <v>45</v>
      </c>
      <c r="B116" t="str">
        <f>IFERROR(INDEX('Abstracts List'!$B:$B,MATCH($A116,'Abstracts List'!$A:$A,0)),"")</f>
        <v>Time Aggregation in Presence of Multiple Variable Energy Resources</v>
      </c>
      <c r="C116">
        <v>35</v>
      </c>
      <c r="D116" t="str">
        <f>INDEX('Question context'!$D$2:$D$49,MATCH($C116,'Question context'!$C$2:$C$49,0))</f>
        <v>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v>
      </c>
      <c r="E116">
        <f>CHOOSE(N(INDEX('Question context'!$E$2:$Y$49,MATCH($C116,'Question context'!$C$2:$C$49,0),MATCH($A116,'Question context'!$E$1:$Y$1,0)))+1,10,30,50,60,80,90)</f>
        <v>30</v>
      </c>
      <c r="F116" t="str">
        <f t="shared" si="1"/>
        <v>Low</v>
      </c>
      <c r="H116" t="s">
        <v>575</v>
      </c>
    </row>
    <row r="117" spans="1:8" x14ac:dyDescent="0.25">
      <c r="A117">
        <v>45</v>
      </c>
      <c r="B117" t="str">
        <f>IFERROR(INDEX('Abstracts List'!$B:$B,MATCH($A117,'Abstracts List'!$A:$A,0)),"")</f>
        <v>Time Aggregation in Presence of Multiple Variable Energy Resources</v>
      </c>
      <c r="C117">
        <v>39</v>
      </c>
      <c r="D117" t="str">
        <f>INDEX('Question context'!$D$2:$D$49,MATCH($C117,'Question context'!$C$2:$C$49,0))</f>
        <v>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v>
      </c>
      <c r="E117">
        <f>CHOOSE(N(INDEX('Question context'!$E$2:$Y$49,MATCH($C117,'Question context'!$C$2:$C$49,0),MATCH($A117,'Question context'!$E$1:$Y$1,0)))+1,10,30,50,60,80,90)</f>
        <v>50</v>
      </c>
      <c r="F117" t="str">
        <f t="shared" si="1"/>
        <v>Moderate</v>
      </c>
      <c r="H117" t="s">
        <v>575</v>
      </c>
    </row>
    <row r="118" spans="1:8" x14ac:dyDescent="0.25">
      <c r="A118">
        <v>45</v>
      </c>
      <c r="B118" t="str">
        <f>IFERROR(INDEX('Abstracts List'!$B:$B,MATCH($A118,'Abstracts List'!$A:$A,0)),"")</f>
        <v>Time Aggregation in Presence of Multiple Variable Energy Resources</v>
      </c>
      <c r="C118">
        <v>40</v>
      </c>
      <c r="D118" t="str">
        <f>INDEX('Question context'!$D$2:$D$49,MATCH($C118,'Question context'!$C$2:$C$49,0))</f>
        <v>What studies and metrics are required to evaluate resource adequacy with hybrid plants (e.g., photovoltaics-plus-storage) and virtual power plants? </v>
      </c>
      <c r="E118">
        <f>CHOOSE(N(INDEX('Question context'!$E$2:$Y$49,MATCH($C118,'Question context'!$C$2:$C$49,0),MATCH($A118,'Question context'!$E$1:$Y$1,0)))+1,10,30,50,60,80,90)</f>
        <v>30</v>
      </c>
      <c r="F118" t="str">
        <f t="shared" si="1"/>
        <v>Low</v>
      </c>
      <c r="H118" t="s">
        <v>575</v>
      </c>
    </row>
    <row r="119" spans="1:8" x14ac:dyDescent="0.25">
      <c r="A119">
        <v>45</v>
      </c>
      <c r="B119" t="str">
        <f>IFERROR(INDEX('Abstracts List'!$B:$B,MATCH($A119,'Abstracts List'!$A:$A,0)),"")</f>
        <v>Time Aggregation in Presence of Multiple Variable Energy Resources</v>
      </c>
      <c r="C119">
        <v>41</v>
      </c>
      <c r="D119" t="str">
        <f>INDEX('Question context'!$D$2:$D$49,MATCH($C119,'Question context'!$C$2:$C$49,0))</f>
        <v>What additional probabilistic planning methods and tools are necessary for planning a power system with a high share of IBRs and in particular, variable renewable energy resources? </v>
      </c>
      <c r="E119">
        <f>CHOOSE(N(INDEX('Question context'!$E$2:$Y$49,MATCH($C119,'Question context'!$C$2:$C$49,0),MATCH($A119,'Question context'!$E$1:$Y$1,0)))+1,10,30,50,60,80,90)</f>
        <v>50</v>
      </c>
      <c r="F119" t="str">
        <f t="shared" si="1"/>
        <v>Moderate</v>
      </c>
      <c r="H119" t="s">
        <v>575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Template</vt:lpstr>
      <vt:lpstr>Batch 1</vt:lpstr>
      <vt:lpstr>Question context</vt:lpstr>
      <vt:lpstr>Rationale</vt:lpstr>
      <vt:lpstr>Rationale_clean</vt:lpstr>
      <vt:lpstr>Question Detail</vt:lpstr>
      <vt:lpstr>Abstracts List</vt:lpstr>
      <vt:lpstr>Calibration Dataset</vt:lpstr>
      <vt:lpstr>Accounting</vt:lpstr>
      <vt:lpstr>Calibration Dataset old</vt:lpstr>
      <vt:lpstr>CROF</vt:lpstr>
      <vt:lpstr>DER_CC</vt:lpstr>
      <vt:lpstr>DER_System_Services</vt:lpstr>
      <vt:lpstr>IBR</vt:lpstr>
      <vt:lpstr>Planning</vt:lpstr>
      <vt:lpstr>Stability</vt:lpstr>
      <vt:lpstr>System_Services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Gallegos Garay, Pablo I</cp:lastModifiedBy>
  <cp:revision/>
  <dcterms:created xsi:type="dcterms:W3CDTF">2026-05-19T09:42:13Z</dcterms:created>
  <dcterms:modified xsi:type="dcterms:W3CDTF">2026-07-27T16:48:57Z</dcterms:modified>
  <cp:category/>
  <cp:contentStatus/>
</cp:coreProperties>
</file>