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202300"/>
  <mc:AlternateContent xmlns:mc="http://schemas.openxmlformats.org/markup-compatibility/2006">
    <mc:Choice Requires="x15">
      <x15ac:absPath xmlns:x15ac="http://schemas.microsoft.com/office/spreadsheetml/2010/11/ac" url="https://imperiallondon-my.sharepoint.com/personal/pgallego_ic_ac_uk/Documents/PhD/Repositories/article-classifier/data/raw/"/>
    </mc:Choice>
  </mc:AlternateContent>
  <xr:revisionPtr revIDLastSave="698" documentId="13_ncr:1_{CD6FDC08-1643-4D09-A304-6E3C39141549}" xr6:coauthVersionLast="47" xr6:coauthVersionMax="47" xr10:uidLastSave="{6F57253C-8120-440C-8E13-60881A22E871}"/>
  <bookViews>
    <workbookView xWindow="-120" yWindow="-120" windowWidth="29040" windowHeight="15720" xr2:uid="{EDE86827-FA04-464C-901E-B282913C003F}"/>
  </bookViews>
  <sheets>
    <sheet name="main" sheetId="8" r:id="rId1"/>
    <sheet name="Primary Research Programme" sheetId="11" r:id="rId2"/>
    <sheet name="IEEE PES" sheetId="12" r:id="rId3"/>
    <sheet name="main_extended" sheetId="16" r:id="rId4"/>
    <sheet name="Question Detail Extended" sheetId="14" r:id="rId5"/>
    <sheet name="Section Groups Summary" sheetId="13" r:id="rId6"/>
    <sheet name="Inclusion Matrix" sheetId="15" r:id="rId7"/>
  </sheets>
  <definedNames>
    <definedName name="_ftn1" localSheetId="0">main!$D$32</definedName>
    <definedName name="_ftnref1" localSheetId="0">main!$D$20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6" l="1"/>
  <c r="C5" i="16" s="1"/>
  <c r="C6" i="16" s="1"/>
  <c r="C7" i="16" s="1"/>
  <c r="C8" i="16" s="1"/>
  <c r="C9" i="16" s="1"/>
  <c r="C10" i="16" s="1"/>
  <c r="C11" i="16" s="1"/>
  <c r="C12" i="16" s="1"/>
  <c r="C13" i="16" s="1"/>
  <c r="C14" i="16" s="1"/>
  <c r="C15" i="16" s="1"/>
  <c r="C16" i="16" s="1"/>
  <c r="C17" i="16" s="1"/>
  <c r="C18" i="16" s="1"/>
  <c r="C19" i="16" s="1"/>
  <c r="C20" i="16" s="1"/>
  <c r="C21" i="16" s="1"/>
  <c r="C22" i="16" s="1"/>
  <c r="C23" i="16" s="1"/>
  <c r="C24" i="16" s="1"/>
  <c r="C25" i="16" s="1"/>
  <c r="C26" i="16" s="1"/>
  <c r="C27" i="16" s="1"/>
  <c r="C28" i="16" s="1"/>
  <c r="C29" i="16" s="1"/>
  <c r="C30" i="16" s="1"/>
  <c r="C31" i="16" s="1"/>
  <c r="C32" i="16" s="1"/>
  <c r="C33" i="16" s="1"/>
  <c r="C34" i="16" s="1"/>
  <c r="C35" i="16" s="1"/>
  <c r="C36" i="16" s="1"/>
  <c r="C37" i="16" s="1"/>
  <c r="C38" i="16" s="1"/>
  <c r="C39" i="16" s="1"/>
  <c r="C40" i="16" s="1"/>
  <c r="C41" i="16" s="1"/>
  <c r="C42" i="16" s="1"/>
  <c r="C43" i="16" s="1"/>
  <c r="C44" i="16" s="1"/>
  <c r="C45" i="16" s="1"/>
  <c r="C46" i="16" s="1"/>
  <c r="C47" i="16" s="1"/>
  <c r="C48" i="16" s="1"/>
  <c r="C49" i="16" s="1"/>
  <c r="C35" i="15"/>
  <c r="B35" i="15"/>
  <c r="C21" i="15"/>
  <c r="AX20" i="15"/>
  <c r="AW20" i="15"/>
  <c r="AV20" i="15"/>
  <c r="AU20" i="15"/>
  <c r="AT20" i="15"/>
  <c r="AS20" i="15"/>
  <c r="AR20" i="15"/>
  <c r="AQ20" i="15"/>
  <c r="AP20" i="15"/>
  <c r="AO20" i="15"/>
  <c r="AN20" i="15"/>
  <c r="AM20" i="15"/>
  <c r="AL20" i="15"/>
  <c r="AK20" i="15"/>
  <c r="AJ20" i="15"/>
  <c r="AI20" i="15"/>
  <c r="AH20" i="15"/>
  <c r="AG20" i="15"/>
  <c r="AF20" i="15"/>
  <c r="AE20" i="15"/>
  <c r="AD20" i="15"/>
  <c r="AC20" i="15"/>
  <c r="AB20" i="15"/>
  <c r="AA20" i="15"/>
  <c r="Z20" i="15"/>
  <c r="Y20" i="15"/>
  <c r="X20" i="15"/>
  <c r="W20" i="15"/>
  <c r="V20" i="15"/>
  <c r="U20" i="15"/>
  <c r="T20" i="15"/>
  <c r="S20" i="15"/>
  <c r="R20" i="15"/>
  <c r="Q20" i="15"/>
  <c r="P20" i="15"/>
  <c r="O20" i="15"/>
  <c r="N20" i="15"/>
  <c r="M20" i="15"/>
  <c r="L20" i="15"/>
  <c r="K20" i="15"/>
  <c r="J20" i="15"/>
  <c r="I20" i="15"/>
  <c r="H20" i="15"/>
  <c r="G20" i="15"/>
  <c r="F20" i="15"/>
  <c r="E20" i="15"/>
  <c r="D20" i="15"/>
  <c r="C22" i="15" s="1"/>
  <c r="C23" i="15" s="1"/>
  <c r="C20" i="15"/>
  <c r="C24" i="15" s="1"/>
  <c r="AY18" i="15"/>
  <c r="AY17" i="15"/>
  <c r="AY16" i="15"/>
  <c r="AY15" i="15"/>
  <c r="AY14" i="15"/>
  <c r="AY13" i="15"/>
  <c r="AY12" i="15"/>
  <c r="C4" i="8" l="1"/>
  <c r="C5" i="8" s="1"/>
  <c r="C6" i="8" s="1"/>
  <c r="C7" i="8" s="1"/>
  <c r="C8" i="8" s="1"/>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C31" i="8" s="1"/>
  <c r="C32" i="8" s="1"/>
  <c r="C33" i="8" s="1"/>
  <c r="C34" i="8" s="1"/>
  <c r="C35" i="8" s="1"/>
  <c r="C36" i="8" s="1"/>
  <c r="C37" i="8" s="1"/>
  <c r="C38" i="8" s="1"/>
  <c r="C39" i="8" s="1"/>
  <c r="C40" i="8" s="1"/>
  <c r="C41" i="8" s="1"/>
  <c r="C42" i="8" s="1"/>
  <c r="C43" i="8" s="1"/>
  <c r="C44" i="8" s="1"/>
  <c r="C45" i="8" s="1"/>
  <c r="C46" i="8" s="1"/>
  <c r="C47" i="8" s="1"/>
  <c r="C48" i="8" s="1"/>
  <c r="C4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Gallegos Garay, Pablo I</author>
  </authors>
  <commentList>
    <comment ref="D28" authorId="0" shapeId="0" xr:uid="{24DAD414-2D13-45F5-A053-621C41F54393}">
      <text>
        <r>
          <rPr>
            <b/>
            <sz val="9"/>
            <color indexed="81"/>
            <rFont val="Tahoma"/>
            <family val="2"/>
          </rPr>
          <t xml:space="preserve">Gallegos Garay, Pablo I:
</t>
        </r>
        <r>
          <rPr>
            <sz val="9"/>
            <color indexed="81"/>
            <rFont val="Tahoma"/>
            <family val="2"/>
          </rPr>
          <t>We need wider definition/term that also considers potential model improvements, appart from forecasting techniques.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Gallegos Garay, Pablo I</author>
  </authors>
  <commentList>
    <comment ref="D28" authorId="0" shapeId="0" xr:uid="{52758F06-D2B2-41DB-8B1F-812AE2EE7406}">
      <text>
        <r>
          <rPr>
            <b/>
            <sz val="9"/>
            <color indexed="81"/>
            <rFont val="Tahoma"/>
            <family val="2"/>
          </rPr>
          <t xml:space="preserve">Gallegos Garay, Pablo I:
</t>
        </r>
        <r>
          <rPr>
            <sz val="9"/>
            <color indexed="81"/>
            <rFont val="Tahoma"/>
            <family val="2"/>
          </rPr>
          <t>We need wider definition/term that also considers potential model improvements, appart from forecasting techniques.</t>
        </r>
      </text>
    </comment>
  </commentList>
</comments>
</file>

<file path=xl/sharedStrings.xml><?xml version="1.0" encoding="utf-8"?>
<sst xmlns="http://schemas.openxmlformats.org/spreadsheetml/2006/main" count="1052" uniqueCount="258">
  <si>
    <t>Planning</t>
  </si>
  <si>
    <t>DER</t>
  </si>
  <si>
    <t>IBR</t>
  </si>
  <si>
    <t>Power system evolution with high IBR shares</t>
  </si>
  <si>
    <t>IBR design standards and capabilities</t>
  </si>
  <si>
    <t>Stability</t>
  </si>
  <si>
    <t>Tools for real-time operation of IBR dominated systems</t>
  </si>
  <si>
    <t>Methods for planning and operation of low-inertia systems</t>
  </si>
  <si>
    <t>DER Aggregation, measurement &amp; control</t>
  </si>
  <si>
    <t>Data and control architecture</t>
  </si>
  <si>
    <t>Bulk system services</t>
  </si>
  <si>
    <t>CROF</t>
  </si>
  <si>
    <t>Flexibility assessment</t>
  </si>
  <si>
    <t>Data and digital architecture</t>
  </si>
  <si>
    <t>Security assessment</t>
  </si>
  <si>
    <t>System Services</t>
  </si>
  <si>
    <t>System needs</t>
  </si>
  <si>
    <t>Services design</t>
  </si>
  <si>
    <t>Planning under uncertainty</t>
  </si>
  <si>
    <t>Resource Adequacy</t>
  </si>
  <si>
    <t>Extreme events</t>
  </si>
  <si>
    <t>Questions - long</t>
  </si>
  <si>
    <t>In what form and fidelity should the original equipment manufacturers/developers and system operators exchange the IBR and grid models for comprehensive stability assurance of IBR-dominated grids?</t>
  </si>
  <si>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</si>
  <si>
    <t>How can the risk of high-impact low-probability events (weather-related and otherwise) be incorporated into security assessments in real time and operations planning?</t>
  </si>
  <si>
    <t>Grouping</t>
  </si>
  <si>
    <t>RA2025</t>
  </si>
  <si>
    <t>Primary Research Programme</t>
  </si>
  <si>
    <t>Subgrouping</t>
  </si>
  <si>
    <t>Description</t>
  </si>
  <si>
    <t>Control Room of the Future</t>
  </si>
  <si>
    <t>System Planning</t>
  </si>
  <si>
    <t>Long name</t>
  </si>
  <si>
    <t>Distributed Energy Resources</t>
  </si>
  <si>
    <t xml:space="preserve">What is the future of active power balance as the synchronous generation fraction reduces? For example, might tightened or loosened frequency (or similar proxy for active power balance) limits lead to a more reliable, secure, lower-cost IBR-based power system? </t>
  </si>
  <si>
    <t xml:space="preserve">How will protection systems need to change to accommodate high penetrations of IBRs, and what possible actions might an inverter take during a fault that would help fault detection and location? </t>
  </si>
  <si>
    <t xml:space="preserve">How could the IBR control paradigm change from replicating synchronous machines to exploiting wider IBR flexibility without introducing integration challenges during the transition? </t>
  </si>
  <si>
    <t xml:space="preserve">What are the appropriate inverter capabilities and, consequently, control design methods for operation in grids with high percentages of IBRs, and are standard configurations and combinations of services helpful in simplifying operational decision-making? </t>
  </si>
  <si>
    <t xml:space="preserve">What recommendations for standard IBR frequency characteristics and responses should be identified to help system design? For example, should a contribution to damping be mandatory at certain frequencies? </t>
  </si>
  <si>
    <t xml:space="preserve">What requirements (e.g. impedance) should be placed on IBRs to control negative sequence currents for protection and harmonics suppression? </t>
  </si>
  <si>
    <t xml:space="preserve">What methods, including data types, and analyses can be used to identify the risk of poorly damped IBR-induced oscillations in planning studies and trace their root cause? </t>
  </si>
  <si>
    <t xml:space="preserve">What analytical tools and models should be provided to planners and operators for robust assessment of system performance in IBR-dominated power grids? </t>
  </si>
  <si>
    <t xml:space="preserve">What methods and tools should be used in planning and/or operation to determine the appropriate mix, location, and capabilities of grid-forming and grid-following inverters to mitigate stability problems for a given power system? </t>
  </si>
  <si>
    <t>What aggregate quantities must be monitored, screened, and validated to ensure reliable service provision from different DER categories and at what
temporal and/or spatial resolution must these processes occur?</t>
  </si>
  <si>
    <t>What is the communication capability needed to support monitoring and coordination of DER in terms of reliability, latency, bandwidth and (cyber) security?</t>
  </si>
  <si>
    <t>What is a scalable data architecture for DER monitoring, modelling, and coordination in real-time that would be suitable for the control room?</t>
  </si>
  <si>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</si>
  <si>
    <t>How can the capabilities of grid-enhancing technologies (such as FACTS,SPS, RAS, DLR, PFC, WAMPAC) be integrated into the operational decision-making process?</t>
  </si>
  <si>
    <t>How can grid topology be flexibly adapted to be reliably integrated into the operational decision-making process with outage scheduling, transfer limit increase, and post contingency remedial actions?</t>
  </si>
  <si>
    <t>What type of digital architecture is best placed to enable modularity and the variety of software required to operate a control room in real time, near-real time, and in auto pilot mode?</t>
  </si>
  <si>
    <t>What is the best way to integrate large datasets, streaming information, and historical system performance to create actionable operational insights in an increasingly complex environment with multiple phenomena occurring within overlapping timescales?</t>
  </si>
  <si>
    <t>What metrics and their definitions (system strength, inertia, or others) need to be appropriately monitored or calculated to assess system dynamic behavior in real time, and what monitoring capabilities are necessary to support these assessments?</t>
  </si>
  <si>
    <t>What improvements can be made to predictive tools and visualization methodologies in operational applications within the control room to support decision-making in real-time operations?</t>
  </si>
  <si>
    <t>How can risk-based methods (e.g. probabilistic forecasting techniques) be better incorporated into operational decision-support tools and used consistently across multiple stages (e.g., real-time, day ahead, intraday planning)?</t>
  </si>
  <si>
    <t>What system services are needed across different timescales and to the extent that services coexist within the same timescale, how should these services be designed to avoid competition and overlap? </t>
  </si>
  <si>
    <t>What are the needs of a power system expressed in technologically neutral form and how do these needs map to services that any resource (including data centers, other IBRs, DERs, high-voltage direct current links, etc.) can provide? </t>
  </si>
  <si>
    <t>How can system performance requirements be translated into reliable new technology solutions? </t>
  </si>
  <si>
    <t>How should system restoration services be structured and organized in systems with few or no synchronous machines, relying on IBR technologies and variable energy resources? </t>
  </si>
  <si>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t>
  </si>
  <si>
    <t>What methods could determine the need, sufficiency, and locational nature of IBR voltage control and system strength services for a given area? </t>
  </si>
  <si>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t>
  </si>
  <si>
    <t>What system services can be designed to enable response from IBRs that can be a substitute for inertia (i.e. very fast frequency response)?  </t>
  </si>
  <si>
    <t>What studies and metrics are required to identify long-term scarcity of resources (capacity, energy, flexibility etc.) to maintain reliability?   </t>
  </si>
  <si>
    <t>How should grid enhancing technologies be included in the planning processes? </t>
  </si>
  <si>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t>
  </si>
  <si>
    <t>What studies and metrics are required to evaluate resource adequacy with hybrid plants (e.g., photovoltaics-plus-storage) and virtual power plants? </t>
  </si>
  <si>
    <t>What additional probabilistic planning methods and tools are necessary for planning a power system with a high share of IBRs and in particular, variable renewable energy resources? </t>
  </si>
  <si>
    <t>What additional planning models and methods are needed to plan for various levels of uncertainty and no-regrets investments in a paradigm of increasing electrification and growing IBR and DER penetrations? </t>
  </si>
  <si>
    <t>What changes can be incorporated into the transmission planning process, especially inter-regional planning, to unlock multi-value system benefits and accommodate new drivers of uncertainty (e.g., large growth due to electrification or low growth due to increased use of DERs)? </t>
  </si>
  <si>
    <t>What methods, processes, and products (e.g. services) can support effective valuation, integration, and procurement of long-duration energy storage? </t>
  </si>
  <si>
    <t>What additional load and resource forecasting models are necessary to account for electrification, including large loads (e.g., data centers), coupling of the transportation and building sectors, and demand-side flexibility? </t>
  </si>
  <si>
    <t>What additional methods, tools, and metrics are necessary to incorporate resilience concepts and the ability to recover and adapt to adverse conditions, considering uncertain future states into planning a power system with a high share of renewables? </t>
  </si>
  <si>
    <t>How do system operators adequately account for the overall system impact of extreme events in planning studies, particularly those that impact the system with a high share of flexible resources in both supply and demand (wind, solar, demand-side flexibility)? </t>
  </si>
  <si>
    <t>What additional planning models and methods are needed to plan for a system that can withstand expected or unexpected lulls (e.g., an extended wind drought, or a dunkelflaute)?  </t>
  </si>
  <si>
    <t>IEEE Transactions on Energy Conversion</t>
  </si>
  <si>
    <t>The IEEE Transactions on Energy Conversion publishes both research and application-oriented articles dealing with the development, design, operation, modeling, analysis, diagnostics and control of electrical equipment used to convert any kind of energy (such as mechanical, chemical and solar) into electrical energy and vice versa. Any electric power generating apparatus based on fossil, renewable, nuclear or unconventional sources and used for either centralized or distributed generation systems is of interest for the journal. The scope also includes any kind of equipment used to convert electric into mechanical power, such as electric drives, machinery and actuators. Electrical energy storage and electrical energy production from storage are covered. Power electronics and control should not be the primary research contribution of the papers. They are of interest only when they are part of the energy conversion process being described, such as power electronics converters treated as a part of electric drives, or grid interfaces for electric power generation or electric energy storage device</t>
  </si>
  <si>
    <t>Scope</t>
  </si>
  <si>
    <t>Journal</t>
  </si>
  <si>
    <t>IEEE Transactions on Energy Markets, Policy and Regulation</t>
  </si>
  <si>
    <t>IEEE Transactions on Energy Markets, Policy and Regulation is a rigorously peer-reviewed journal disseminating relevant knowledge and developments in the organization and structure of rapidly evolving multi-energy supply and demand systems. It publishes articles on energy system frameworks, policies, and regulations, such as multi-tier energy market structures, pricing policies, and auction rules. The Journal promotes the decarbonization of supply, distribution, and demand in multi-energy systems, and drives robust and sustainable investments in resilient and green energy systems considering all stakeholders’ needs. Published articles are supported by detailed engineering, economic and policy analyses and assessments of the topics discussed, based on relevant principles, models, techniques and tools.</t>
  </si>
  <si>
    <t>IEEE Transactions on Power Delivery</t>
  </si>
  <si>
    <t>The scope of the IEEE Transactions on Power Delivery embraces innovations in electric apparatus for power delivery with a main focus on power transmission and distribution components. It also covers apparatus modeling, analysis, implementation and application issues such as power system protection, instrumentation, communication, and grounding; electromagnetic transients and power quality; and substation automation. The Transaction’s scope further includes research works leading to power engineering standards.</t>
  </si>
  <si>
    <t>IEEE Transactions on Power Systems</t>
  </si>
  <si>
    <t>IEEE Transactions on Smart Grid</t>
  </si>
  <si>
    <t>The IEEE Transactions on Smart Grid is a cross disciplinary journal aimed at disseminating results of research on and development of the smart grid, which encompasses energy networks where prosumers, electric transportation, distributed energy resources, and communications are integral and interactive components, as in the case of microgrids and active distribution networks interfaced with transmission systems. The journal publishes original research on theories and principles of smart grid technologies and systems, used in demand response, Advance Metering Infrastructure, cyber-physical systems, multi-energy systems, transactive energy, data analytics, and EV integration. Surveys of existing work on the smart grid may also be considered for publication when they propose a new viewpoint on history and a challenging perspective on the future of intelligent and active grids.</t>
  </si>
  <si>
    <t>IEEE Transactions on Sustainable Energy</t>
  </si>
  <si>
    <t>The IEEE Transactions on Sustainable Energy is a journal aimed at disseminating results of research on sustainable energy systems that can be integrated into the power transmission and/or distribution grid. The journal publishes original research on design, implementation, grid-integration and control of sustainable energy technologies and systems. The Transactions also welcomes manuscripts on design, implementation and evaluation of power systems that are affected by sustainable energy systems and devices.</t>
  </si>
  <si>
    <t>Simple description</t>
  </si>
  <si>
    <t>IEEE Transactions on Power Systems (TPWRS) welcomes papers on the education, analysis, operation, planning, and economics of electric generation, transmission, and distribution systems for general industrial, commercial, public, and domestic consumption, including the interaction with multi-energy carriers. The focus of TPWRS is the power system from a systems viewpoint instead of components of the system. It has five (5) key areas within its scope including: Power System Analysis, Computing, and Economics, Power System Dynamic Performance, Power System Operations, Power System Planning and Implementation, Power Engineering Education. TPWRS’s editorial philosophy is to promote research, innovation, and exchange for the power engineering community.</t>
  </si>
  <si>
    <t>General</t>
  </si>
  <si>
    <t>Inverter-Based Resources</t>
  </si>
  <si>
    <t>This research area focuses on the fundamental transformation of power systems as they transition from being dominated by synchronous machines to being dominated by power electronic interfaces. Research within this pillar encompasses the development of advanced control capabilities, services, and design methodologies specifically for IBRs, such as wind, solar, and battery energy storage. A primary focus is the shift from Grid-Following (GFL) to Grid-Forming (GFM) technologies, investigating how inverters can provide essential reliability services like voltage and frequency support, inertia-like responses, and system strength. It includes the study of IBR protection schemes, electromagnetic transient (EMT) modeling for high-fidelity representation, and the development of international standards (such as IEEE 2800) to ensure interoperability and performance. Furthermore, it addresses the role of IBRs in system restoration and black-start procedures, examining how decentralized resources can re-energize the grid following a total or partial shutdown.</t>
  </si>
  <si>
    <t>The stability pillar addresses the evolving physics of the grid caused by the reduction of mechanical inertia and the emergence of fast-acting power electronics. This area covers the development of new analytical tools, monitoring systems, and control methods required to ensure the reliability and security of power systems operating with very high shares of variable renewable energy (VRE). Key research topics include converter-driven stability (e.g., sub-synchronous oscillations and harmonic instabilities), small-signal and transient stability in low-inertia environments, and the development of fast frequency response (FFR) mechanisms. It also explores the necessity of moving beyond traditional Root Mean Square (RMS) simulations toward wide-scale EMT modeling to capture fast-acting dynamics. Research here aims to define new stability limits, create automated oscillation detection algorithms, and design robust control strategies that can prevent cascading failures in highly volatile, non-linear system conditions.</t>
  </si>
  <si>
    <t>This pillar focuses on the evolution of the power system operator's environment to handle the exponential increase in data and complexity. Research explores the development of new visualization techniques, AI-assisted decision support systems, and automated analysis tools designed to enhance real-time situational awareness. It addresses the challenge of 'alarm fatigue' by using machine learning to prioritize critical information and filter noise. Key concepts include Modular Control Center Systems (MCCS), which allow for more flexible and scalable software architectures, and the integration of wide-area monitoring systems (WAMS) using phasor measurement unit (PMU) data. Additionally, this area investigates the human-machine interface (HMI), digital twins for real-time contingency analysis, and the cybersecurity of operational technology (OT) to ensure that control rooms remain resilient against both physical and cyber threats in a more decentralized grid.</t>
  </si>
  <si>
    <t>The planning pillar addresses the need for new metrics, methods, and tools to design the power systems of the future. Traditional planning processes often fail to capture the high degree of uncertainty and the complex interactions of a changing resource mix. Expanded research in this area includes integrated transmission and distribution planning, multi-sector coupling (e.g., power-to-gas, heating, and transport), and planning for extreme weather resilience under climate change scenarios. It explores the use of large-scale, high-resolution datasets and probabilistic modeling to replace deterministic 'worst-case' scenarios. Focus is also placed on the expansion of transmission infrastructure to connect remote renewable zones to load centers, the role of long-duration energy storage in seasonal balancing, and the development of new metrics for evaluating system strength and adequacy that go beyond simple capacity margins.</t>
  </si>
  <si>
    <t>Core Power Systems</t>
  </si>
  <si>
    <t>This broad category serves as the foundational 'catch-all' for research that addresses the power system from a holistic, systemic viewpoint or focuses on classical engineering and economic principles not specifically covered by the other 6 research programs. It encompasses the general analysis, operation, and planning of electric generation, transmission, and distribution systems for industrial, commercial, and domestic consumption. This includes research on classical economic dispatch, traditional electricity market design, and the interaction of the power grid with multi-energy carriers. Within its scope are five key sub-disciplines: Power System Analysis, Computing, and Economics; Power System Dynamic Performance; Power System Operations; Power System Planning and Implementation; and Power Engineering Education.</t>
  </si>
  <si>
    <t>This research area is dedicated to quantifying, defining, and procuring the technical ancillary services necessary to maintain a reliable supply-demand balance in a carbon-free future. As traditional 'free' ancillary services provided by synchronous generators (like inertia and short-circuit current) disappear, this pillar seeks to create market mechanisms and technical requirements for new types of system services. This includes investigating ramping services for managing VRE variability, advanced frequency regulation, voltage control, and black-start capabilities. Research focuses on the techno-economic design of 'service-based' markets, ensuring that the procurement of these services is both cost-effective and technologically neutral. It also looks at how to define 'resource adequacy' in systems where the marginal cost of energy is near zero, and how to incentivize the long-term investment in the flexible assets needed to ensure grid reliability at all times.</t>
  </si>
  <si>
    <t>What approaches can be taken to track the dynamic response of IBR-dominated systems near real time and detect any emerging stability problems?</t>
  </si>
  <si>
    <t>What mechanisms and appropriate aggregate DER representations and data are necessary to account for DERs in system-wide operation and planning, and in techno economic evaluation?</t>
  </si>
  <si>
    <t>How can bulk-level services provided by DER be valued as a compromise between simplicity and, for example, a complex full cost-reflective approach?</t>
  </si>
  <si>
    <t>How can system operators quantify the bulk-level energy and service opportunities from DER, and how can these services be shared among distribution operators, bulk operators, aggregators and (where applicable) customers?</t>
  </si>
  <si>
    <t>For each service, how feasible is it to provide from IBR, what “cost” does it add, what limitations exist on its magnitude and duration and what are the trade-offs between the provision of services? </t>
  </si>
  <si>
    <t>This area examines the integration and orchestration of distribution-level resources including rooftop solar, electric vehicles (EVs), behind-the-meter storage, microgrids, and demand-side management as active assets for the bulk power system. The focus is on the 'Transmission-Distribution (T-D) Interface,' seeking to optimize how these millions of decentralized devices can be aggregated into Virtual Power Plants (VPPs) to provide flexibility and reliability services. Research includes the development of communication protocols, localized markets for DER flexibility, and advanced DER Management Systems (DERMS). It also covers technical challenges such as bi-directional power flows, local voltage regulation, and the stability of islanded grids or DC microgrids. The goal is to transform DERs from passive, 'invisible' loads into controllable, transparent resources that support the overall resilience and decarbonization of the integrated energy system.</t>
  </si>
  <si>
    <t>Future of MW balance in low-inertia power systems</t>
  </si>
  <si>
    <t>New protection systems for high IBR penetration</t>
  </si>
  <si>
    <t>Point to exploit wider flexibility and stop SM replication</t>
  </si>
  <si>
    <t>Appropriate inverter capabilities</t>
  </si>
  <si>
    <t>Standard behaviors of IBRs in certain freq. ranges</t>
  </si>
  <si>
    <t>Impedance requirements on IBR to control negative sequence</t>
  </si>
  <si>
    <t>Approaches to track IBR dynamic responses and detect emerging stability problems</t>
  </si>
  <si>
    <t>Methods and analysis to identify the risk of poorly damped IBR induced oscillations</t>
  </si>
  <si>
    <t>Methods and tools for planners for robust system performance assessment</t>
  </si>
  <si>
    <t>Methods and tools to mitigate stability problems using mix of GFM and GFL</t>
  </si>
  <si>
    <t>Fidelity in IBR and grid models to assess system stability</t>
  </si>
  <si>
    <t>Quantities to be monitored to ensure reliable service provision from DER</t>
  </si>
  <si>
    <t>Communication capability to monitor and control DER</t>
  </si>
  <si>
    <t>Data architecture to monitor DER in real time</t>
  </si>
  <si>
    <t>Types of control architectures for DER</t>
  </si>
  <si>
    <t>Aggregation of DER for planning models</t>
  </si>
  <si>
    <t>Quantification of DER for transmission level services</t>
  </si>
  <si>
    <t>Valuation of DER services at transmission level</t>
  </si>
  <si>
    <t>Integration of GETs into operational decision-making process</t>
  </si>
  <si>
    <t>Grid topology flexiblity into the operational decision-making process</t>
  </si>
  <si>
    <t>Applications to assess flexibility from all resources on all grid levels to address uncertainty</t>
  </si>
  <si>
    <t>Digitial architecture to enable software for real-time, near real-time and auto pilot model</t>
  </si>
  <si>
    <t>Best way to integrate large data sets to create actionable operational insights</t>
  </si>
  <si>
    <t>Incorporation of HILP events into security assessments in real time operations planning</t>
  </si>
  <si>
    <t>Metrics and their definitions that can be monitored to assess system dynamic behaviour</t>
  </si>
  <si>
    <t>Visualization methodologies to support decision-making in real-time operations</t>
  </si>
  <si>
    <t>Incorporation of probabilistic forecasting techniques into decission support tools</t>
  </si>
  <si>
    <t>Overlaping of system needs timescales and required services</t>
  </si>
  <si>
    <t>What are the needs of a power system expressed in technology neutral form…</t>
  </si>
  <si>
    <t>How can system performance requirements be translated into new technology solutions</t>
  </si>
  <si>
    <t>Feasibility, cost and limitations to provide services with IBR</t>
  </si>
  <si>
    <t>How restoration systems should be structured in IBR dominated grids</t>
  </si>
  <si>
    <t>How to structure system services</t>
  </si>
  <si>
    <t>Voltage control and system strength services</t>
  </si>
  <si>
    <t>Quantification of IBR ability to provide reliability services</t>
  </si>
  <si>
    <t>Frequency control services structure</t>
  </si>
  <si>
    <t>Additional probabilistic planning methods for planning with high shares of IBRs (VRE)</t>
  </si>
  <si>
    <t>Planning models and methods for increased uncertainty w/ electrification and IBRs/DERs</t>
  </si>
  <si>
    <t>Changes into transmission (and inter-regional) planning to accommodate new drives of uncertainty for multi-value benefits</t>
  </si>
  <si>
    <t>Models and methods to quantify the need of long duration energy storage</t>
  </si>
  <si>
    <t>Load and resource forecasting models for transport and building electrification</t>
  </si>
  <si>
    <t>Studies and metrics to identify long term scarcity of capacity</t>
  </si>
  <si>
    <t>Sufficient black-start capacity considerations in long term reliability studies</t>
  </si>
  <si>
    <t>Technical models to be added to resource adequacy to consider other reliability services</t>
  </si>
  <si>
    <t>Studies and metrics to evaluate resource adequacy</t>
  </si>
  <si>
    <t>Methods, tools, and metrics to incorporate resiliency concepts and recovery from adverse conditions</t>
  </si>
  <si>
    <t>Extreme events incorporation into planning, particularly for systems with high shares of flexible resources</t>
  </si>
  <si>
    <t xml:space="preserve">Models and methods to plan system to withstand expected/unexpected llulls in the weather </t>
  </si>
  <si>
    <t>Question - short</t>
  </si>
  <si>
    <t>C.2</t>
  </si>
  <si>
    <t>Tightly coupled</t>
  </si>
  <si>
    <t>Related to other area</t>
  </si>
  <si>
    <t>I2 - IBR design standards and capabilities</t>
  </si>
  <si>
    <t>St1 - Tools for real-time operation of IBR dominated systems</t>
  </si>
  <si>
    <t>St2 - Methods for planning and operation of low-inertia systems</t>
  </si>
  <si>
    <t>D3 - Bulk system services</t>
  </si>
  <si>
    <t>D1 - DER Aggregation, measurement &amp; control</t>
  </si>
  <si>
    <t>D2 - Data and control architecture</t>
  </si>
  <si>
    <t>C1 - Flexibility assessment</t>
  </si>
  <si>
    <t>C2 - Data and digital architecture</t>
  </si>
  <si>
    <t>C3 - Security assessment</t>
  </si>
  <si>
    <t>C4 - Visualization</t>
  </si>
  <si>
    <t>C5 - Forecasting</t>
  </si>
  <si>
    <t>SS1 - System needs</t>
  </si>
  <si>
    <t>SS2 - Services design</t>
  </si>
  <si>
    <t>P1 - Planning under uncertainty</t>
  </si>
  <si>
    <t>P2 - Resource Adequacy</t>
  </si>
  <si>
    <t>P3 - Extreme events</t>
  </si>
  <si>
    <t>SS.2</t>
  </si>
  <si>
    <t>St.2</t>
  </si>
  <si>
    <t>SS2</t>
  </si>
  <si>
    <t>St2</t>
  </si>
  <si>
    <t>C.3</t>
  </si>
  <si>
    <t>I.2</t>
  </si>
  <si>
    <t>C3</t>
  </si>
  <si>
    <t>I2</t>
  </si>
  <si>
    <t>P2, I2</t>
  </si>
  <si>
    <t>C1, C3</t>
  </si>
  <si>
    <t>C2</t>
  </si>
  <si>
    <t>St.1</t>
  </si>
  <si>
    <t>St1</t>
  </si>
  <si>
    <t>C.5</t>
  </si>
  <si>
    <t>D3</t>
  </si>
  <si>
    <t>D3, Q12</t>
  </si>
  <si>
    <r>
      <t>P1,</t>
    </r>
    <r>
      <rPr>
        <sz val="12"/>
        <rFont val="Aptos Narrow"/>
        <family val="2"/>
        <scheme val="minor"/>
      </rPr>
      <t>Q42</t>
    </r>
    <r>
      <rPr>
        <sz val="11"/>
        <rFont val="Aptos Narrow"/>
        <family val="2"/>
        <scheme val="minor"/>
      </rPr>
      <t>, P2,</t>
    </r>
    <r>
      <rPr>
        <sz val="12"/>
        <rFont val="Aptos Narrow"/>
        <family val="2"/>
        <scheme val="minor"/>
      </rPr>
      <t>Q39</t>
    </r>
    <r>
      <rPr>
        <sz val="11"/>
        <rFont val="Aptos Narrow"/>
        <family val="2"/>
        <scheme val="minor"/>
      </rPr>
      <t>, P3, Q</t>
    </r>
    <r>
      <rPr>
        <sz val="12"/>
        <rFont val="Aptos Narrow"/>
        <family val="2"/>
        <scheme val="minor"/>
      </rPr>
      <t>47</t>
    </r>
  </si>
  <si>
    <r>
      <t xml:space="preserve">P2, </t>
    </r>
    <r>
      <rPr>
        <sz val="12"/>
        <rFont val="Aptos Narrow"/>
        <family val="2"/>
        <scheme val="minor"/>
      </rPr>
      <t>Q38</t>
    </r>
  </si>
  <si>
    <t>I1 - Power system evolution with high IBR shares</t>
  </si>
  <si>
    <t>C5</t>
  </si>
  <si>
    <t>37,38,39,40</t>
  </si>
  <si>
    <t>Core Questions (New #)</t>
  </si>
  <si>
    <t>Adjacent Questions (New #)</t>
  </si>
  <si>
    <t>Full Group (New #)</t>
  </si>
  <si>
    <t># Core</t>
  </si>
  <si>
    <t># Adjacent</t>
  </si>
  <si>
    <t># Total</t>
  </si>
  <si>
    <t>1, 2, 3, 4, 5, 6</t>
  </si>
  <si>
    <t>8, 9, 10, 11, 32, 33, 34, 35, 36</t>
  </si>
  <si>
    <t>1, 2, 3, 4, 5, 6, 8, 9, 10, 11, 32, 33, 34, 35, 36</t>
  </si>
  <si>
    <t>7, 8, 9, 10, 11</t>
  </si>
  <si>
    <t>4, 5, 6, 24, 25, 37, 38, 39, 40</t>
  </si>
  <si>
    <t>4, 5, 6, 7, 8, 9, 10, 11, 24, 25, 37, 38, 39, 40</t>
  </si>
  <si>
    <t>DER System Services</t>
  </si>
  <si>
    <t>12, 13, 14</t>
  </si>
  <si>
    <t>37, 38, 39, 40, 41, 42, 43, 44, 45, 46, 47, 48</t>
  </si>
  <si>
    <t>12, 13, 14, 37, 38, 39, 40, 41, 42, 43, 44, 45, 46, 47, 48</t>
  </si>
  <si>
    <t>DER C&amp;C</t>
  </si>
  <si>
    <t>15, 16, 17, 18</t>
  </si>
  <si>
    <t>19, 20, 21, 22, 23, 24, 25</t>
  </si>
  <si>
    <t>15, 16, 17, 18, 19, 20, 21, 22, 23, 24, 25</t>
  </si>
  <si>
    <t>19, 20, 21, 22, 23, 24, 25, 26, 27</t>
  </si>
  <si>
    <t>7, 19, 20, 21, 22, 23, 24, 25, 26, 27</t>
  </si>
  <si>
    <t>28, 29, 30, 31, 32, 33, 34, 35, 36</t>
  </si>
  <si>
    <t>37, 38, 39, 40</t>
  </si>
  <si>
    <t>28, 29, 30, 31, 32, 33, 34, 35, 36, 37, 38, 39, 40</t>
  </si>
  <si>
    <t>12, 13, 14, 27, 32, 33, 34, 35, 36</t>
  </si>
  <si>
    <t>12, 13, 14, 27, 32, 33, 34, 35, 36, 37, 38, 39, 40, 41, 42, 43, 44, 45, 46, 47, 48</t>
  </si>
  <si>
    <t>Section</t>
  </si>
  <si>
    <t>New #</t>
  </si>
  <si>
    <t>Questions Group</t>
  </si>
  <si>
    <t>Groupings</t>
  </si>
  <si>
    <t>Question</t>
  </si>
  <si>
    <t>Role</t>
  </si>
  <si>
    <t>Adjacent via (source tokens)</t>
  </si>
  <si>
    <t>I.1</t>
  </si>
  <si>
    <t>Core</t>
  </si>
  <si>
    <t>Adjacent</t>
  </si>
  <si>
    <t>P.2</t>
  </si>
  <si>
    <t>P2</t>
  </si>
  <si>
    <t>P.1</t>
  </si>
  <si>
    <t>P1</t>
  </si>
  <si>
    <t>P.3</t>
  </si>
  <si>
    <t>P3</t>
  </si>
  <si>
    <t>D1</t>
  </si>
  <si>
    <t>D2</t>
  </si>
  <si>
    <t>C.1</t>
  </si>
  <si>
    <t>C1</t>
  </si>
  <si>
    <t>C.4</t>
  </si>
  <si>
    <t>-</t>
  </si>
  <si>
    <t>SS.1</t>
  </si>
  <si>
    <t>What are the needs of a power system expressed in technology neutral form</t>
  </si>
  <si>
    <t>Group</t>
  </si>
  <si>
    <t>Section Total</t>
  </si>
  <si>
    <t>Weighted</t>
  </si>
  <si>
    <t>Total</t>
  </si>
  <si>
    <t>Min</t>
  </si>
  <si>
    <t>Max</t>
  </si>
  <si>
    <t>Delta</t>
  </si>
  <si>
    <t>Grand Sum</t>
  </si>
  <si>
    <t>Reference: Section weights</t>
  </si>
  <si>
    <t>Core weight</t>
  </si>
  <si>
    <t>Adjacent weight</t>
  </si>
  <si>
    <t>Not included</t>
  </si>
  <si>
    <t>Visualization</t>
  </si>
  <si>
    <t>Forecasting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</si>
</sst>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b/>
      <sz val="12"/>
      <color rgb="FFFF0000"/>
      <name val="Aptos Narrow"/>
      <family val="2"/>
      <scheme val="minor"/>
    </font>
    <font>
      <b/>
      <sz val="11"/>
      <color rgb="FF000000"/>
      <name val="Aptos Narrow"/>
      <family val="2"/>
    </font>
    <font>
      <sz val="10"/>
      <color rgb="FF333333"/>
      <name val="Aptos Narrow"/>
      <family val="2"/>
    </font>
    <font>
      <b/>
      <sz val="9"/>
      <color indexed="81"/>
      <name val="Tahoma"/>
      <family val="2"/>
    </font>
    <font>
      <sz val="9"/>
      <color indexed="81"/>
      <name val="Tahoma"/>
      <family val="2"/>
    </font>
    <font>
      <b/>
      <sz val="12"/>
      <color theme="1"/>
      <name val="Aptos Narrow"/>
      <family val="2"/>
      <scheme val="minor"/>
    </font>
    <font>
      <sz val="11"/>
      <name val="Aptos Narrow"/>
      <family val="2"/>
      <scheme val="minor"/>
    </font>
    <font>
      <sz val="12"/>
      <name val="Aptos Narrow"/>
      <family val="2"/>
      <scheme val="minor"/>
    </font>
    <font>
      <sz val="12"/>
      <name val="Aptos Narrow"/>
      <family val="2"/>
    </font>
    <font>
      <sz val="12"/>
      <name val="Calibri"/>
      <family val="2"/>
    </font>
    <font>
      <b/>
      <sz val="11"/>
      <color rgb="FFFFFFFF"/>
      <name val="Aptos Narrow"/>
      <family val="2"/>
      <scheme val="minor"/>
    </font>
  </fonts>
  <fills count="13">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CCCFF"/>
        <bgColor indexed="64"/>
      </patternFill>
    </fill>
    <fill>
      <patternFill patternType="solid">
        <fgColor theme="8" tint="0.79998168889431442"/>
        <bgColor indexed="64"/>
      </patternFill>
    </fill>
    <fill>
      <patternFill patternType="solid">
        <fgColor rgb="FFFFCCCC"/>
        <bgColor indexed="64"/>
      </patternFill>
    </fill>
    <fill>
      <patternFill patternType="solid">
        <fgColor theme="7" tint="0.79998168889431442"/>
        <bgColor indexed="64"/>
      </patternFill>
    </fill>
    <fill>
      <patternFill patternType="solid">
        <fgColor rgb="FF1F4E78"/>
        <bgColor indexed="64"/>
      </patternFill>
    </fill>
    <fill>
      <patternFill patternType="solid">
        <fgColor rgb="FFF2F2F2"/>
        <bgColor indexed="64"/>
      </patternFill>
    </fill>
    <fill>
      <patternFill patternType="solid">
        <fgColor rgb="FFD9E1F2"/>
        <bgColor indexed="64"/>
      </patternFill>
    </fill>
    <fill>
      <patternFill patternType="solid">
        <fgColor rgb="FFFCE4D6"/>
        <bgColor indexed="64"/>
      </patternFill>
    </fill>
  </fills>
  <borders count="7">
    <border>
      <left/>
      <right/>
      <top/>
      <bottom/>
      <diagonal/>
    </border>
    <border>
      <left/>
      <right/>
      <top style="thin">
        <color auto="1"/>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medium">
        <color indexed="64"/>
      </bottom>
      <diagonal/>
    </border>
  </borders>
  <cellStyleXfs count="1">
    <xf numFmtId="0" fontId="0" fillId="0" borderId="0"/>
  </cellStyleXfs>
  <cellXfs count="32">
    <xf numFmtId="0" fontId="0" fillId="0" borderId="0" xfId="0"/>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xf>
    <xf numFmtId="0" fontId="8" fillId="0" borderId="5" xfId="0" applyFont="1" applyBorder="1" applyAlignment="1">
      <alignment horizontal="center" vertical="center" wrapText="1"/>
    </xf>
    <xf numFmtId="0" fontId="0" fillId="0" borderId="5" xfId="0" applyBorder="1" applyAlignment="1">
      <alignment horizontal="center" vertical="center"/>
    </xf>
    <xf numFmtId="0" fontId="4" fillId="0" borderId="5" xfId="0" applyFont="1" applyBorder="1" applyAlignment="1">
      <alignment vertical="center" wrapText="1"/>
    </xf>
    <xf numFmtId="0" fontId="8" fillId="0" borderId="5" xfId="0" applyFont="1" applyBorder="1" applyAlignment="1">
      <alignment horizontal="center" vertical="center"/>
    </xf>
    <xf numFmtId="0" fontId="2" fillId="0" borderId="5" xfId="0" applyFont="1" applyBorder="1" applyAlignment="1">
      <alignment horizontal="center" vertical="center"/>
    </xf>
    <xf numFmtId="0" fontId="9" fillId="0" borderId="5" xfId="0" applyFont="1" applyBorder="1" applyAlignment="1">
      <alignment horizontal="center" vertical="center" wrapText="1"/>
    </xf>
    <xf numFmtId="0" fontId="10" fillId="0" borderId="5" xfId="0" applyFont="1" applyBorder="1" applyAlignment="1">
      <alignment horizontal="center" vertical="center"/>
    </xf>
    <xf numFmtId="0" fontId="11" fillId="0" borderId="5" xfId="0" applyFont="1" applyBorder="1" applyAlignment="1">
      <alignment horizontal="center" vertical="center"/>
    </xf>
    <xf numFmtId="0" fontId="12" fillId="9" borderId="0" xfId="0" applyFont="1" applyFill="1"/>
    <xf numFmtId="0" fontId="12" fillId="9" borderId="0" xfId="0" applyFont="1" applyFill="1" applyAlignment="1">
      <alignment horizontal="center"/>
    </xf>
    <xf numFmtId="0" fontId="0" fillId="10" borderId="0" xfId="0" applyFill="1"/>
    <xf numFmtId="0" fontId="1" fillId="11" borderId="0" xfId="0" applyFont="1" applyFill="1" applyAlignment="1">
      <alignment horizontal="center"/>
    </xf>
    <xf numFmtId="0" fontId="1" fillId="0" borderId="0" xfId="0" applyFont="1"/>
    <xf numFmtId="0" fontId="1" fillId="12" borderId="0" xfId="0" applyFont="1" applyFill="1"/>
    <xf numFmtId="0" fontId="7" fillId="0" borderId="0" xfId="0" applyFont="1"/>
    <xf numFmtId="0" fontId="1" fillId="3" borderId="5" xfId="0" applyFont="1" applyFill="1" applyBorder="1" applyAlignment="1">
      <alignment horizontal="center" vertical="center"/>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0" fontId="1" fillId="4" borderId="5"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9" fillId="0" borderId="5" xfId="0" applyFont="1" applyBorder="1" applyAlignment="1">
      <alignment horizontal="center" vertical="center" wrapText="1"/>
    </xf>
    <xf numFmtId="0" fontId="1" fillId="8" borderId="5" xfId="0" applyFont="1" applyFill="1" applyBorder="1" applyAlignment="1">
      <alignment horizontal="center" vertical="center"/>
    </xf>
    <xf numFmtId="0" fontId="1" fillId="6" borderId="5" xfId="0" applyFont="1" applyFill="1" applyBorder="1" applyAlignment="1">
      <alignment horizontal="center" vertical="center"/>
    </xf>
    <xf numFmtId="0" fontId="1" fillId="7" borderId="5" xfId="0" applyFont="1" applyFill="1" applyBorder="1" applyAlignment="1">
      <alignment horizontal="center" vertical="center"/>
    </xf>
    <xf numFmtId="0" fontId="3"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0E58FE-1610-4275-BE65-C011E06A158E}">
  <we:reference id="WA200009404" version="1.0.0.8" store="Omex" storeType="OMEX"/>
  <we:alternateReferences>
    <we:reference id="WA200009404" version="1.0.0.8" store="WA200009404" storeType="OMEX"/>
  </we:alternateReferences>
  <we:properties>
    <we:property name="claude.fileId" value="&quot;d3fb5126-3a45-460a-a55f-77d75a92821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80D8-445B-411C-8989-DB2571C39951}">
  <dimension ref="A1:G49"/>
  <sheetViews>
    <sheetView tabSelected="1" topLeftCell="A34" zoomScale="90" zoomScaleNormal="90" workbookViewId="0">
      <selection activeCell="E44" sqref="E44"/>
    </sheetView>
  </sheetViews>
  <sheetFormatPr defaultRowHeight="15" x14ac:dyDescent="0.25"/>
  <cols>
    <col min="1" max="1" width="16" bestFit="1" customWidth="1"/>
    <col min="2" max="2" width="20.140625" customWidth="1"/>
    <col min="3" max="3" width="12.5703125" customWidth="1"/>
    <col min="4" max="4" width="62.42578125" customWidth="1"/>
    <col min="5" max="5" width="58" customWidth="1"/>
    <col min="6" max="6" width="13.5703125" customWidth="1"/>
    <col min="7" max="7" width="17.5703125" customWidth="1"/>
    <col min="8" max="8" width="14.85546875" bestFit="1" customWidth="1"/>
    <col min="9" max="9" width="26.140625" customWidth="1"/>
  </cols>
  <sheetData>
    <row r="1" spans="1:7" ht="30" x14ac:dyDescent="0.25">
      <c r="A1" s="2" t="s">
        <v>25</v>
      </c>
      <c r="B1" s="1" t="s">
        <v>28</v>
      </c>
      <c r="C1" s="1" t="s">
        <v>26</v>
      </c>
      <c r="D1" s="2" t="s">
        <v>21</v>
      </c>
      <c r="E1" s="2" t="s">
        <v>152</v>
      </c>
      <c r="F1" s="2" t="s">
        <v>154</v>
      </c>
      <c r="G1" s="2" t="s">
        <v>155</v>
      </c>
    </row>
    <row r="2" spans="1:7" ht="54" x14ac:dyDescent="0.25">
      <c r="A2" s="19" t="s">
        <v>2</v>
      </c>
      <c r="B2" s="20" t="s">
        <v>190</v>
      </c>
      <c r="C2" s="5">
        <v>1</v>
      </c>
      <c r="D2" s="6" t="s">
        <v>34</v>
      </c>
      <c r="E2" s="6" t="s">
        <v>104</v>
      </c>
      <c r="F2" s="7"/>
      <c r="G2" s="7" t="s">
        <v>174</v>
      </c>
    </row>
    <row r="3" spans="1:7" ht="40.5" x14ac:dyDescent="0.25">
      <c r="A3" s="19"/>
      <c r="B3" s="20"/>
      <c r="C3" s="5">
        <v>2</v>
      </c>
      <c r="D3" s="6" t="s">
        <v>35</v>
      </c>
      <c r="E3" s="6" t="s">
        <v>105</v>
      </c>
      <c r="F3" s="7"/>
      <c r="G3" s="7"/>
    </row>
    <row r="4" spans="1:7" ht="40.5" x14ac:dyDescent="0.25">
      <c r="A4" s="19"/>
      <c r="B4" s="20"/>
      <c r="C4" s="8">
        <f t="shared" ref="C4:C49" si="0">C3+1</f>
        <v>3</v>
      </c>
      <c r="D4" s="6" t="s">
        <v>36</v>
      </c>
      <c r="E4" s="6" t="s">
        <v>106</v>
      </c>
      <c r="F4" s="7"/>
      <c r="G4" s="7"/>
    </row>
    <row r="5" spans="1:7" ht="54" x14ac:dyDescent="0.25">
      <c r="A5" s="19"/>
      <c r="B5" s="20" t="s">
        <v>156</v>
      </c>
      <c r="C5" s="8">
        <f t="shared" si="0"/>
        <v>4</v>
      </c>
      <c r="D5" s="6" t="s">
        <v>37</v>
      </c>
      <c r="E5" s="6" t="s">
        <v>107</v>
      </c>
      <c r="F5" s="21" t="s">
        <v>175</v>
      </c>
      <c r="G5" s="7" t="s">
        <v>174</v>
      </c>
    </row>
    <row r="6" spans="1:7" ht="40.5" x14ac:dyDescent="0.25">
      <c r="A6" s="19"/>
      <c r="B6" s="20"/>
      <c r="C6" s="8">
        <f t="shared" si="0"/>
        <v>5</v>
      </c>
      <c r="D6" s="6" t="s">
        <v>38</v>
      </c>
      <c r="E6" s="6" t="s">
        <v>108</v>
      </c>
      <c r="F6" s="21"/>
      <c r="G6" s="7"/>
    </row>
    <row r="7" spans="1:7" ht="27" x14ac:dyDescent="0.25">
      <c r="A7" s="19"/>
      <c r="B7" s="20"/>
      <c r="C7" s="8">
        <f t="shared" si="0"/>
        <v>6</v>
      </c>
      <c r="D7" s="6" t="s">
        <v>39</v>
      </c>
      <c r="E7" s="6" t="s">
        <v>109</v>
      </c>
      <c r="F7" s="21"/>
      <c r="G7" s="7"/>
    </row>
    <row r="8" spans="1:7" ht="45" x14ac:dyDescent="0.25">
      <c r="A8" s="22" t="s">
        <v>5</v>
      </c>
      <c r="B8" s="4" t="s">
        <v>157</v>
      </c>
      <c r="C8" s="5">
        <f t="shared" si="0"/>
        <v>7</v>
      </c>
      <c r="D8" s="6" t="s">
        <v>98</v>
      </c>
      <c r="E8" s="6" t="s">
        <v>110</v>
      </c>
      <c r="F8" s="4"/>
      <c r="G8" s="9" t="s">
        <v>178</v>
      </c>
    </row>
    <row r="9" spans="1:7" ht="40.5" x14ac:dyDescent="0.25">
      <c r="A9" s="22"/>
      <c r="B9" s="20" t="s">
        <v>158</v>
      </c>
      <c r="C9" s="5">
        <f t="shared" si="0"/>
        <v>8</v>
      </c>
      <c r="D9" s="6" t="s">
        <v>40</v>
      </c>
      <c r="E9" s="6" t="s">
        <v>111</v>
      </c>
      <c r="F9" s="4" t="s">
        <v>179</v>
      </c>
      <c r="G9" s="4"/>
    </row>
    <row r="10" spans="1:7" ht="27" x14ac:dyDescent="0.25">
      <c r="A10" s="22"/>
      <c r="B10" s="20"/>
      <c r="C10" s="5">
        <f t="shared" si="0"/>
        <v>9</v>
      </c>
      <c r="D10" s="6" t="s">
        <v>41</v>
      </c>
      <c r="E10" s="6" t="s">
        <v>112</v>
      </c>
      <c r="F10" s="4" t="s">
        <v>180</v>
      </c>
      <c r="G10" s="4"/>
    </row>
    <row r="11" spans="1:7" ht="40.5" x14ac:dyDescent="0.25">
      <c r="A11" s="22"/>
      <c r="B11" s="20"/>
      <c r="C11" s="5">
        <f t="shared" si="0"/>
        <v>10</v>
      </c>
      <c r="D11" s="6" t="s">
        <v>42</v>
      </c>
      <c r="E11" s="6" t="s">
        <v>113</v>
      </c>
      <c r="F11" s="4" t="s">
        <v>179</v>
      </c>
      <c r="G11" s="4"/>
    </row>
    <row r="12" spans="1:7" ht="40.5" x14ac:dyDescent="0.25">
      <c r="A12" s="22"/>
      <c r="B12" s="20"/>
      <c r="C12" s="5">
        <f t="shared" si="0"/>
        <v>11</v>
      </c>
      <c r="D12" s="6" t="s">
        <v>22</v>
      </c>
      <c r="E12" s="6" t="s">
        <v>114</v>
      </c>
      <c r="F12" s="4" t="s">
        <v>179</v>
      </c>
      <c r="G12" s="4"/>
    </row>
    <row r="13" spans="1:7" ht="40.5" x14ac:dyDescent="0.25">
      <c r="A13" s="31" t="s">
        <v>1</v>
      </c>
      <c r="B13" s="20" t="s">
        <v>159</v>
      </c>
      <c r="C13" s="5">
        <f t="shared" si="0"/>
        <v>12</v>
      </c>
      <c r="D13" s="6" t="s">
        <v>99</v>
      </c>
      <c r="E13" s="6" t="s">
        <v>119</v>
      </c>
      <c r="F13" s="4"/>
      <c r="G13" s="20" t="s">
        <v>188</v>
      </c>
    </row>
    <row r="14" spans="1:7" ht="54" x14ac:dyDescent="0.25">
      <c r="A14" s="31"/>
      <c r="B14" s="20"/>
      <c r="C14" s="5">
        <f t="shared" si="0"/>
        <v>13</v>
      </c>
      <c r="D14" s="6" t="s">
        <v>101</v>
      </c>
      <c r="E14" s="6" t="s">
        <v>120</v>
      </c>
      <c r="F14" s="4"/>
      <c r="G14" s="20"/>
    </row>
    <row r="15" spans="1:7" ht="27.6" customHeight="1" x14ac:dyDescent="0.25">
      <c r="A15" s="31"/>
      <c r="B15" s="20"/>
      <c r="C15" s="5">
        <f t="shared" si="0"/>
        <v>14</v>
      </c>
      <c r="D15" s="6" t="s">
        <v>100</v>
      </c>
      <c r="E15" s="6" t="s">
        <v>121</v>
      </c>
      <c r="F15" s="4"/>
      <c r="G15" s="20"/>
    </row>
    <row r="16" spans="1:7" ht="40.5" x14ac:dyDescent="0.25">
      <c r="A16" s="31"/>
      <c r="B16" s="20" t="s">
        <v>160</v>
      </c>
      <c r="C16" s="5">
        <f t="shared" si="0"/>
        <v>15</v>
      </c>
      <c r="D16" s="6" t="s">
        <v>43</v>
      </c>
      <c r="E16" s="6" t="s">
        <v>115</v>
      </c>
      <c r="F16" s="4"/>
      <c r="G16" s="27" t="s">
        <v>181</v>
      </c>
    </row>
    <row r="17" spans="1:7" ht="40.5" x14ac:dyDescent="0.25">
      <c r="A17" s="31"/>
      <c r="B17" s="20"/>
      <c r="C17" s="5">
        <f t="shared" si="0"/>
        <v>16</v>
      </c>
      <c r="D17" s="6" t="s">
        <v>44</v>
      </c>
      <c r="E17" s="6" t="s">
        <v>116</v>
      </c>
      <c r="F17" s="4"/>
      <c r="G17" s="27"/>
    </row>
    <row r="18" spans="1:7" ht="27" x14ac:dyDescent="0.25">
      <c r="A18" s="31"/>
      <c r="B18" s="20" t="s">
        <v>161</v>
      </c>
      <c r="C18" s="5">
        <f t="shared" si="0"/>
        <v>17</v>
      </c>
      <c r="D18" s="6" t="s">
        <v>45</v>
      </c>
      <c r="E18" s="6" t="s">
        <v>117</v>
      </c>
      <c r="F18" s="4"/>
      <c r="G18" s="27" t="s">
        <v>182</v>
      </c>
    </row>
    <row r="19" spans="1:7" ht="67.5" x14ac:dyDescent="0.25">
      <c r="A19" s="31"/>
      <c r="B19" s="20"/>
      <c r="C19" s="5">
        <f t="shared" si="0"/>
        <v>18</v>
      </c>
      <c r="D19" s="6" t="s">
        <v>46</v>
      </c>
      <c r="E19" s="6" t="s">
        <v>118</v>
      </c>
      <c r="F19" s="4"/>
      <c r="G19" s="27"/>
    </row>
    <row r="20" spans="1:7" ht="40.5" x14ac:dyDescent="0.25">
      <c r="A20" s="29" t="s">
        <v>11</v>
      </c>
      <c r="B20" s="20" t="s">
        <v>162</v>
      </c>
      <c r="C20" s="8">
        <f t="shared" si="0"/>
        <v>19</v>
      </c>
      <c r="D20" s="6" t="s">
        <v>47</v>
      </c>
      <c r="E20" s="6" t="s">
        <v>122</v>
      </c>
      <c r="F20" s="7"/>
      <c r="G20" s="7"/>
    </row>
    <row r="21" spans="1:7" ht="40.5" x14ac:dyDescent="0.25">
      <c r="A21" s="29"/>
      <c r="B21" s="20"/>
      <c r="C21" s="8">
        <f t="shared" si="0"/>
        <v>20</v>
      </c>
      <c r="D21" s="6" t="s">
        <v>48</v>
      </c>
      <c r="E21" s="6" t="s">
        <v>123</v>
      </c>
      <c r="F21" s="7"/>
      <c r="G21" s="7"/>
    </row>
    <row r="22" spans="1:7" ht="54" x14ac:dyDescent="0.25">
      <c r="A22" s="29"/>
      <c r="B22" s="20"/>
      <c r="C22" s="8">
        <f t="shared" si="0"/>
        <v>21</v>
      </c>
      <c r="D22" s="6" t="s">
        <v>23</v>
      </c>
      <c r="E22" s="6" t="s">
        <v>124</v>
      </c>
      <c r="F22" s="7"/>
      <c r="G22" s="7"/>
    </row>
    <row r="23" spans="1:7" ht="40.5" x14ac:dyDescent="0.25">
      <c r="A23" s="29"/>
      <c r="B23" s="20" t="s">
        <v>163</v>
      </c>
      <c r="C23" s="8">
        <f t="shared" si="0"/>
        <v>22</v>
      </c>
      <c r="D23" s="6" t="s">
        <v>49</v>
      </c>
      <c r="E23" s="6" t="s">
        <v>125</v>
      </c>
      <c r="F23" s="7"/>
      <c r="G23" s="7"/>
    </row>
    <row r="24" spans="1:7" ht="54" x14ac:dyDescent="0.25">
      <c r="A24" s="29"/>
      <c r="B24" s="20"/>
      <c r="C24" s="8">
        <f t="shared" si="0"/>
        <v>23</v>
      </c>
      <c r="D24" s="6" t="s">
        <v>50</v>
      </c>
      <c r="E24" s="6" t="s">
        <v>126</v>
      </c>
      <c r="F24" s="7"/>
      <c r="G24" s="7"/>
    </row>
    <row r="25" spans="1:7" ht="40.5" x14ac:dyDescent="0.25">
      <c r="A25" s="29"/>
      <c r="B25" s="20" t="s">
        <v>164</v>
      </c>
      <c r="C25" s="8">
        <f t="shared" si="0"/>
        <v>24</v>
      </c>
      <c r="D25" s="6" t="s">
        <v>24</v>
      </c>
      <c r="E25" s="6" t="s">
        <v>127</v>
      </c>
      <c r="F25" s="7"/>
      <c r="G25" s="7"/>
    </row>
    <row r="26" spans="1:7" ht="54" x14ac:dyDescent="0.25">
      <c r="A26" s="29"/>
      <c r="B26" s="20"/>
      <c r="C26" s="8">
        <f t="shared" si="0"/>
        <v>25</v>
      </c>
      <c r="D26" s="6" t="s">
        <v>51</v>
      </c>
      <c r="E26" s="6" t="s">
        <v>128</v>
      </c>
      <c r="F26" s="4" t="s">
        <v>184</v>
      </c>
      <c r="G26" s="7"/>
    </row>
    <row r="27" spans="1:7" ht="40.5" x14ac:dyDescent="0.25">
      <c r="A27" s="29"/>
      <c r="B27" s="4" t="s">
        <v>165</v>
      </c>
      <c r="C27" s="8">
        <f t="shared" si="0"/>
        <v>26</v>
      </c>
      <c r="D27" s="6" t="s">
        <v>52</v>
      </c>
      <c r="E27" s="6" t="s">
        <v>129</v>
      </c>
      <c r="F27" s="7"/>
      <c r="G27" s="7"/>
    </row>
    <row r="28" spans="1:7" ht="40.5" x14ac:dyDescent="0.25">
      <c r="A28" s="29"/>
      <c r="B28" s="4" t="s">
        <v>166</v>
      </c>
      <c r="C28" s="8">
        <f t="shared" si="0"/>
        <v>27</v>
      </c>
      <c r="D28" s="6" t="s">
        <v>53</v>
      </c>
      <c r="E28" s="6" t="s">
        <v>130</v>
      </c>
      <c r="F28" s="7"/>
      <c r="G28" s="7"/>
    </row>
    <row r="29" spans="1:7" ht="40.5" x14ac:dyDescent="0.25">
      <c r="A29" s="30" t="s">
        <v>15</v>
      </c>
      <c r="B29" s="20" t="s">
        <v>167</v>
      </c>
      <c r="C29" s="5">
        <f t="shared" si="0"/>
        <v>28</v>
      </c>
      <c r="D29" s="6" t="s">
        <v>54</v>
      </c>
      <c r="E29" s="6" t="s">
        <v>131</v>
      </c>
      <c r="F29" s="7"/>
      <c r="G29" s="7"/>
    </row>
    <row r="30" spans="1:7" ht="40.5" x14ac:dyDescent="0.25">
      <c r="A30" s="30"/>
      <c r="B30" s="20"/>
      <c r="C30" s="5">
        <f t="shared" si="0"/>
        <v>29</v>
      </c>
      <c r="D30" s="6" t="s">
        <v>55</v>
      </c>
      <c r="E30" s="6" t="s">
        <v>132</v>
      </c>
      <c r="F30" s="7"/>
      <c r="G30" s="7"/>
    </row>
    <row r="31" spans="1:7" ht="27" x14ac:dyDescent="0.25">
      <c r="A31" s="30"/>
      <c r="B31" s="20"/>
      <c r="C31" s="5">
        <f t="shared" si="0"/>
        <v>30</v>
      </c>
      <c r="D31" s="6" t="s">
        <v>56</v>
      </c>
      <c r="E31" s="6" t="s">
        <v>133</v>
      </c>
      <c r="F31" s="7"/>
      <c r="G31" s="7"/>
    </row>
    <row r="32" spans="1:7" ht="40.5" x14ac:dyDescent="0.25">
      <c r="A32" s="30"/>
      <c r="B32" s="20"/>
      <c r="C32" s="5">
        <f t="shared" si="0"/>
        <v>31</v>
      </c>
      <c r="D32" s="6" t="s">
        <v>102</v>
      </c>
      <c r="E32" s="6" t="s">
        <v>134</v>
      </c>
      <c r="F32" s="7"/>
      <c r="G32" s="7"/>
    </row>
    <row r="33" spans="1:7" ht="40.5" x14ac:dyDescent="0.25">
      <c r="A33" s="30"/>
      <c r="B33" s="20" t="s">
        <v>168</v>
      </c>
      <c r="C33" s="5">
        <f t="shared" si="0"/>
        <v>32</v>
      </c>
      <c r="D33" s="6" t="s">
        <v>57</v>
      </c>
      <c r="E33" s="6" t="s">
        <v>135</v>
      </c>
      <c r="F33" s="7"/>
      <c r="G33" s="4" t="s">
        <v>189</v>
      </c>
    </row>
    <row r="34" spans="1:7" ht="54" x14ac:dyDescent="0.25">
      <c r="A34" s="30"/>
      <c r="B34" s="20"/>
      <c r="C34" s="5">
        <f t="shared" si="0"/>
        <v>33</v>
      </c>
      <c r="D34" s="6" t="s">
        <v>58</v>
      </c>
      <c r="E34" s="6" t="s">
        <v>136</v>
      </c>
      <c r="F34" s="7"/>
      <c r="G34" s="7"/>
    </row>
    <row r="35" spans="1:7" ht="27" x14ac:dyDescent="0.25">
      <c r="A35" s="30"/>
      <c r="B35" s="20"/>
      <c r="C35" s="5">
        <f t="shared" si="0"/>
        <v>34</v>
      </c>
      <c r="D35" s="6" t="s">
        <v>59</v>
      </c>
      <c r="E35" s="6" t="s">
        <v>137</v>
      </c>
      <c r="F35" s="7"/>
      <c r="G35" s="7"/>
    </row>
    <row r="36" spans="1:7" ht="54" x14ac:dyDescent="0.25">
      <c r="A36" s="30"/>
      <c r="B36" s="20"/>
      <c r="C36" s="5">
        <f t="shared" si="0"/>
        <v>35</v>
      </c>
      <c r="D36" s="6" t="s">
        <v>60</v>
      </c>
      <c r="E36" s="6" t="s">
        <v>138</v>
      </c>
      <c r="F36" s="7"/>
      <c r="G36" s="7"/>
    </row>
    <row r="37" spans="1:7" ht="27" x14ac:dyDescent="0.25">
      <c r="A37" s="30"/>
      <c r="B37" s="20"/>
      <c r="C37" s="5">
        <f t="shared" si="0"/>
        <v>36</v>
      </c>
      <c r="D37" s="6" t="s">
        <v>61</v>
      </c>
      <c r="E37" s="6" t="s">
        <v>139</v>
      </c>
      <c r="F37" s="7"/>
      <c r="G37" s="7"/>
    </row>
    <row r="38" spans="1:7" ht="27.6" customHeight="1" x14ac:dyDescent="0.25">
      <c r="A38" s="28" t="s">
        <v>0</v>
      </c>
      <c r="B38" s="20" t="s">
        <v>170</v>
      </c>
      <c r="C38" s="5">
        <f t="shared" si="0"/>
        <v>37</v>
      </c>
      <c r="D38" s="6" t="s">
        <v>62</v>
      </c>
      <c r="E38" s="6" t="s">
        <v>145</v>
      </c>
      <c r="F38" s="7"/>
      <c r="G38" s="10"/>
    </row>
    <row r="39" spans="1:7" ht="15.75" x14ac:dyDescent="0.25">
      <c r="A39" s="28"/>
      <c r="B39" s="20"/>
      <c r="C39" s="5">
        <f t="shared" si="0"/>
        <v>38</v>
      </c>
      <c r="D39" s="6" t="s">
        <v>63</v>
      </c>
      <c r="E39" s="6" t="s">
        <v>146</v>
      </c>
      <c r="F39" s="7"/>
      <c r="G39" s="11" t="s">
        <v>174</v>
      </c>
    </row>
    <row r="40" spans="1:7" ht="54" x14ac:dyDescent="0.25">
      <c r="A40" s="28"/>
      <c r="B40" s="20"/>
      <c r="C40" s="5">
        <f t="shared" si="0"/>
        <v>39</v>
      </c>
      <c r="D40" s="6" t="s">
        <v>64</v>
      </c>
      <c r="E40" s="6" t="s">
        <v>147</v>
      </c>
      <c r="F40" s="7"/>
      <c r="G40" s="10"/>
    </row>
    <row r="41" spans="1:7" ht="27" x14ac:dyDescent="0.25">
      <c r="A41" s="28"/>
      <c r="B41" s="20"/>
      <c r="C41" s="5">
        <f t="shared" si="0"/>
        <v>40</v>
      </c>
      <c r="D41" s="6" t="s">
        <v>65</v>
      </c>
      <c r="E41" s="6" t="s">
        <v>148</v>
      </c>
      <c r="F41" s="7"/>
      <c r="G41" s="11" t="s">
        <v>187</v>
      </c>
    </row>
    <row r="42" spans="1:7" ht="40.5" x14ac:dyDescent="0.25">
      <c r="A42" s="28"/>
      <c r="B42" s="20" t="s">
        <v>169</v>
      </c>
      <c r="C42" s="5">
        <f t="shared" si="0"/>
        <v>41</v>
      </c>
      <c r="D42" s="6" t="s">
        <v>66</v>
      </c>
      <c r="E42" s="6" t="s">
        <v>140</v>
      </c>
      <c r="F42" s="7"/>
      <c r="G42" s="10" t="s">
        <v>191</v>
      </c>
    </row>
    <row r="43" spans="1:7" ht="40.5" x14ac:dyDescent="0.25">
      <c r="A43" s="28"/>
      <c r="B43" s="20"/>
      <c r="C43" s="5">
        <f t="shared" si="0"/>
        <v>42</v>
      </c>
      <c r="D43" s="6" t="s">
        <v>67</v>
      </c>
      <c r="E43" s="6" t="s">
        <v>141</v>
      </c>
      <c r="F43" s="7"/>
      <c r="G43" s="10"/>
    </row>
    <row r="44" spans="1:7" ht="54" x14ac:dyDescent="0.25">
      <c r="A44" s="28"/>
      <c r="B44" s="20"/>
      <c r="C44" s="5">
        <f t="shared" si="0"/>
        <v>43</v>
      </c>
      <c r="D44" s="6" t="s">
        <v>68</v>
      </c>
      <c r="E44" s="6" t="s">
        <v>142</v>
      </c>
      <c r="F44" s="7"/>
      <c r="G44" s="11" t="s">
        <v>186</v>
      </c>
    </row>
    <row r="45" spans="1:7" ht="27" x14ac:dyDescent="0.25">
      <c r="A45" s="28"/>
      <c r="B45" s="20"/>
      <c r="C45" s="5">
        <f t="shared" si="0"/>
        <v>44</v>
      </c>
      <c r="D45" s="6" t="s">
        <v>69</v>
      </c>
      <c r="E45" s="6" t="s">
        <v>143</v>
      </c>
      <c r="F45" s="7"/>
      <c r="G45" s="10"/>
    </row>
    <row r="46" spans="1:7" ht="40.5" x14ac:dyDescent="0.25">
      <c r="A46" s="28"/>
      <c r="B46" s="20"/>
      <c r="C46" s="5">
        <f t="shared" si="0"/>
        <v>45</v>
      </c>
      <c r="D46" s="6" t="s">
        <v>70</v>
      </c>
      <c r="E46" s="6" t="s">
        <v>144</v>
      </c>
      <c r="F46" s="7"/>
      <c r="G46" s="10"/>
    </row>
    <row r="47" spans="1:7" ht="54" x14ac:dyDescent="0.25">
      <c r="A47" s="28"/>
      <c r="B47" s="20" t="s">
        <v>171</v>
      </c>
      <c r="C47" s="5">
        <f t="shared" si="0"/>
        <v>46</v>
      </c>
      <c r="D47" s="6" t="s">
        <v>71</v>
      </c>
      <c r="E47" s="6" t="s">
        <v>149</v>
      </c>
      <c r="F47" s="7"/>
      <c r="G47" s="7"/>
    </row>
    <row r="48" spans="1:7" ht="54" x14ac:dyDescent="0.25">
      <c r="A48" s="28"/>
      <c r="B48" s="20"/>
      <c r="C48" s="5">
        <f t="shared" si="0"/>
        <v>47</v>
      </c>
      <c r="D48" s="6" t="s">
        <v>72</v>
      </c>
      <c r="E48" s="6" t="s">
        <v>150</v>
      </c>
      <c r="F48" s="7"/>
      <c r="G48" s="7"/>
    </row>
    <row r="49" spans="1:7" ht="40.5" x14ac:dyDescent="0.25">
      <c r="A49" s="28"/>
      <c r="B49" s="20"/>
      <c r="C49" s="5">
        <f t="shared" si="0"/>
        <v>48</v>
      </c>
      <c r="D49" s="6" t="s">
        <v>73</v>
      </c>
      <c r="E49" s="6" t="s">
        <v>151</v>
      </c>
      <c r="F49" s="7"/>
      <c r="G49" s="7"/>
    </row>
  </sheetData>
  <mergeCells count="24">
    <mergeCell ref="G13:G15"/>
    <mergeCell ref="G16:G17"/>
    <mergeCell ref="G18:G19"/>
    <mergeCell ref="F5:F7"/>
    <mergeCell ref="A38:A49"/>
    <mergeCell ref="A2:A7"/>
    <mergeCell ref="A8:A12"/>
    <mergeCell ref="A13:A19"/>
    <mergeCell ref="A20:A28"/>
    <mergeCell ref="A29:A37"/>
    <mergeCell ref="B18:B19"/>
    <mergeCell ref="B38:B41"/>
    <mergeCell ref="B42:B46"/>
    <mergeCell ref="B47:B49"/>
    <mergeCell ref="B2:B4"/>
    <mergeCell ref="B5:B7"/>
    <mergeCell ref="B33:B37"/>
    <mergeCell ref="B13:B15"/>
    <mergeCell ref="B16:B17"/>
    <mergeCell ref="B9:B12"/>
    <mergeCell ref="B20:B22"/>
    <mergeCell ref="B23:B24"/>
    <mergeCell ref="B25:B26"/>
    <mergeCell ref="B29:B32"/>
  </mergeCells>
  <hyperlinks>
    <hyperlink ref="D20" location="_ftn1" display="_ftn1" xr:uid="{4BB85B46-2A68-40D3-B7C5-0CC18FE6916D}"/>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7A1F-D6C7-4080-A580-B443E07A126E}">
  <dimension ref="A1:C8"/>
  <sheetViews>
    <sheetView workbookViewId="0">
      <selection activeCell="C41" sqref="C41"/>
    </sheetView>
  </sheetViews>
  <sheetFormatPr defaultRowHeight="15" x14ac:dyDescent="0.25"/>
  <cols>
    <col min="1" max="1" width="27.5703125" bestFit="1" customWidth="1"/>
    <col min="2" max="2" width="27.5703125" customWidth="1"/>
    <col min="3" max="3" width="165.85546875" bestFit="1" customWidth="1"/>
  </cols>
  <sheetData>
    <row r="1" spans="1:3" x14ac:dyDescent="0.25">
      <c r="A1" t="s">
        <v>27</v>
      </c>
      <c r="B1" t="s">
        <v>32</v>
      </c>
      <c r="C1" t="s">
        <v>29</v>
      </c>
    </row>
    <row r="2" spans="1:3" x14ac:dyDescent="0.25">
      <c r="A2" t="s">
        <v>2</v>
      </c>
      <c r="B2" t="s">
        <v>90</v>
      </c>
      <c r="C2" t="s">
        <v>91</v>
      </c>
    </row>
    <row r="3" spans="1:3" x14ac:dyDescent="0.25">
      <c r="A3" t="s">
        <v>5</v>
      </c>
      <c r="B3" t="s">
        <v>5</v>
      </c>
      <c r="C3" t="s">
        <v>92</v>
      </c>
    </row>
    <row r="4" spans="1:3" x14ac:dyDescent="0.25">
      <c r="A4" t="s">
        <v>1</v>
      </c>
      <c r="B4" t="s">
        <v>33</v>
      </c>
      <c r="C4" t="s">
        <v>103</v>
      </c>
    </row>
    <row r="5" spans="1:3" x14ac:dyDescent="0.25">
      <c r="A5" t="s">
        <v>11</v>
      </c>
      <c r="B5" t="s">
        <v>30</v>
      </c>
      <c r="C5" t="s">
        <v>93</v>
      </c>
    </row>
    <row r="6" spans="1:3" x14ac:dyDescent="0.25">
      <c r="A6" t="s">
        <v>15</v>
      </c>
      <c r="B6" t="s">
        <v>15</v>
      </c>
      <c r="C6" t="s">
        <v>97</v>
      </c>
    </row>
    <row r="7" spans="1:3" x14ac:dyDescent="0.25">
      <c r="A7" t="s">
        <v>0</v>
      </c>
      <c r="B7" t="s">
        <v>31</v>
      </c>
      <c r="C7" t="s">
        <v>94</v>
      </c>
    </row>
    <row r="8" spans="1:3" x14ac:dyDescent="0.25">
      <c r="A8" t="s">
        <v>89</v>
      </c>
      <c r="B8" t="s">
        <v>95</v>
      </c>
      <c r="C8"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71C42-D241-42D1-AEC9-ACA7AB49D477}">
  <dimension ref="A1:C7"/>
  <sheetViews>
    <sheetView workbookViewId="0">
      <selection activeCell="B5" sqref="B5"/>
    </sheetView>
  </sheetViews>
  <sheetFormatPr defaultRowHeight="15" x14ac:dyDescent="0.25"/>
  <sheetData>
    <row r="1" spans="1:3" x14ac:dyDescent="0.25">
      <c r="A1" t="s">
        <v>77</v>
      </c>
      <c r="B1" t="s">
        <v>76</v>
      </c>
      <c r="C1" t="s">
        <v>87</v>
      </c>
    </row>
    <row r="2" spans="1:3" x14ac:dyDescent="0.25">
      <c r="A2" t="s">
        <v>74</v>
      </c>
      <c r="B2" t="s">
        <v>75</v>
      </c>
    </row>
    <row r="3" spans="1:3" x14ac:dyDescent="0.25">
      <c r="A3" t="s">
        <v>78</v>
      </c>
      <c r="B3" t="s">
        <v>79</v>
      </c>
    </row>
    <row r="4" spans="1:3" x14ac:dyDescent="0.25">
      <c r="A4" t="s">
        <v>80</v>
      </c>
      <c r="B4" t="s">
        <v>81</v>
      </c>
    </row>
    <row r="5" spans="1:3" x14ac:dyDescent="0.25">
      <c r="A5" t="s">
        <v>82</v>
      </c>
      <c r="B5" t="s">
        <v>88</v>
      </c>
    </row>
    <row r="6" spans="1:3" x14ac:dyDescent="0.25">
      <c r="A6" t="s">
        <v>83</v>
      </c>
      <c r="B6" t="s">
        <v>84</v>
      </c>
    </row>
    <row r="7" spans="1:3" x14ac:dyDescent="0.25">
      <c r="A7" t="s">
        <v>85</v>
      </c>
      <c r="B7"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E6949-8382-4253-8CE6-51D5E62312F0}">
  <sheetPr>
    <tabColor theme="9"/>
  </sheetPr>
  <dimension ref="A1:G49"/>
  <sheetViews>
    <sheetView workbookViewId="0">
      <selection activeCell="E6" sqref="E6"/>
    </sheetView>
  </sheetViews>
  <sheetFormatPr defaultColWidth="50" defaultRowHeight="15" x14ac:dyDescent="0.25"/>
  <cols>
    <col min="1" max="1" width="14" bestFit="1" customWidth="1"/>
    <col min="2" max="2" width="47.5703125" bestFit="1" customWidth="1"/>
    <col min="3" max="3" width="7.140625" bestFit="1" customWidth="1"/>
    <col min="6" max="6" width="13.42578125" bestFit="1" customWidth="1"/>
    <col min="7" max="7" width="21.5703125" bestFit="1" customWidth="1"/>
  </cols>
  <sheetData>
    <row r="1" spans="1:7" ht="30" x14ac:dyDescent="0.25">
      <c r="A1" s="2" t="s">
        <v>25</v>
      </c>
      <c r="B1" s="1" t="s">
        <v>28</v>
      </c>
      <c r="C1" s="1" t="s">
        <v>26</v>
      </c>
      <c r="D1" s="2" t="s">
        <v>21</v>
      </c>
      <c r="E1" s="2" t="s">
        <v>152</v>
      </c>
      <c r="F1" s="2" t="s">
        <v>154</v>
      </c>
      <c r="G1" s="2" t="s">
        <v>155</v>
      </c>
    </row>
    <row r="2" spans="1:7" ht="67.5" x14ac:dyDescent="0.25">
      <c r="A2" s="19" t="s">
        <v>2</v>
      </c>
      <c r="B2" s="20" t="s">
        <v>190</v>
      </c>
      <c r="C2" s="5">
        <v>1</v>
      </c>
      <c r="D2" s="6" t="s">
        <v>34</v>
      </c>
      <c r="E2" s="6" t="s">
        <v>104</v>
      </c>
      <c r="F2" s="7"/>
      <c r="G2" s="7" t="s">
        <v>174</v>
      </c>
    </row>
    <row r="3" spans="1:7" ht="54" x14ac:dyDescent="0.25">
      <c r="A3" s="19"/>
      <c r="B3" s="20"/>
      <c r="C3" s="5">
        <v>2</v>
      </c>
      <c r="D3" s="6" t="s">
        <v>35</v>
      </c>
      <c r="E3" s="6" t="s">
        <v>105</v>
      </c>
      <c r="F3" s="7"/>
      <c r="G3" s="7"/>
    </row>
    <row r="4" spans="1:7" ht="40.5" x14ac:dyDescent="0.25">
      <c r="A4" s="19"/>
      <c r="B4" s="20"/>
      <c r="C4" s="8">
        <f t="shared" ref="C4:C49" si="0">C3+1</f>
        <v>3</v>
      </c>
      <c r="D4" s="6" t="s">
        <v>36</v>
      </c>
      <c r="E4" s="6" t="s">
        <v>106</v>
      </c>
      <c r="F4" s="7"/>
      <c r="G4" s="7"/>
    </row>
    <row r="5" spans="1:7" ht="67.5" x14ac:dyDescent="0.25">
      <c r="A5" s="19"/>
      <c r="B5" s="20" t="s">
        <v>156</v>
      </c>
      <c r="C5" s="8">
        <f t="shared" si="0"/>
        <v>4</v>
      </c>
      <c r="D5" s="6" t="s">
        <v>37</v>
      </c>
      <c r="E5" s="6" t="s">
        <v>107</v>
      </c>
      <c r="F5" s="21" t="s">
        <v>175</v>
      </c>
      <c r="G5" s="7" t="s">
        <v>174</v>
      </c>
    </row>
    <row r="6" spans="1:7" ht="54" x14ac:dyDescent="0.25">
      <c r="A6" s="19"/>
      <c r="B6" s="20"/>
      <c r="C6" s="8">
        <f t="shared" si="0"/>
        <v>5</v>
      </c>
      <c r="D6" s="6" t="s">
        <v>38</v>
      </c>
      <c r="E6" s="6" t="s">
        <v>108</v>
      </c>
      <c r="F6" s="21"/>
      <c r="G6" s="7"/>
    </row>
    <row r="7" spans="1:7" ht="40.5" x14ac:dyDescent="0.25">
      <c r="A7" s="19"/>
      <c r="B7" s="20"/>
      <c r="C7" s="8">
        <f t="shared" si="0"/>
        <v>6</v>
      </c>
      <c r="D7" s="6" t="s">
        <v>39</v>
      </c>
      <c r="E7" s="6" t="s">
        <v>109</v>
      </c>
      <c r="F7" s="21"/>
      <c r="G7" s="7"/>
    </row>
    <row r="8" spans="1:7" ht="40.5" x14ac:dyDescent="0.25">
      <c r="A8" s="22" t="s">
        <v>5</v>
      </c>
      <c r="B8" s="4" t="s">
        <v>157</v>
      </c>
      <c r="C8" s="5">
        <f t="shared" si="0"/>
        <v>7</v>
      </c>
      <c r="D8" s="6" t="s">
        <v>98</v>
      </c>
      <c r="E8" s="6" t="s">
        <v>110</v>
      </c>
      <c r="F8" s="4"/>
      <c r="G8" s="9" t="s">
        <v>178</v>
      </c>
    </row>
    <row r="9" spans="1:7" ht="40.5" x14ac:dyDescent="0.25">
      <c r="A9" s="22"/>
      <c r="B9" s="20" t="s">
        <v>158</v>
      </c>
      <c r="C9" s="5">
        <f t="shared" si="0"/>
        <v>8</v>
      </c>
      <c r="D9" s="6" t="s">
        <v>40</v>
      </c>
      <c r="E9" s="6" t="s">
        <v>111</v>
      </c>
      <c r="F9" s="4" t="s">
        <v>179</v>
      </c>
      <c r="G9" s="4"/>
    </row>
    <row r="10" spans="1:7" ht="40.5" x14ac:dyDescent="0.25">
      <c r="A10" s="22"/>
      <c r="B10" s="20"/>
      <c r="C10" s="5">
        <f t="shared" si="0"/>
        <v>9</v>
      </c>
      <c r="D10" s="6" t="s">
        <v>41</v>
      </c>
      <c r="E10" s="6" t="s">
        <v>112</v>
      </c>
      <c r="F10" s="4" t="s">
        <v>180</v>
      </c>
      <c r="G10" s="4"/>
    </row>
    <row r="11" spans="1:7" ht="54" x14ac:dyDescent="0.25">
      <c r="A11" s="22"/>
      <c r="B11" s="20"/>
      <c r="C11" s="5">
        <f t="shared" si="0"/>
        <v>10</v>
      </c>
      <c r="D11" s="6" t="s">
        <v>42</v>
      </c>
      <c r="E11" s="6" t="s">
        <v>113</v>
      </c>
      <c r="F11" s="4" t="s">
        <v>179</v>
      </c>
      <c r="G11" s="4"/>
    </row>
    <row r="12" spans="1:7" ht="54.75" thickBot="1" x14ac:dyDescent="0.3">
      <c r="A12" s="22"/>
      <c r="B12" s="20"/>
      <c r="C12" s="5">
        <f t="shared" si="0"/>
        <v>11</v>
      </c>
      <c r="D12" s="6" t="s">
        <v>22</v>
      </c>
      <c r="E12" s="6" t="s">
        <v>114</v>
      </c>
      <c r="F12" s="4" t="s">
        <v>179</v>
      </c>
      <c r="G12" s="4"/>
    </row>
    <row r="13" spans="1:7" ht="54" x14ac:dyDescent="0.25">
      <c r="A13" s="23" t="s">
        <v>205</v>
      </c>
      <c r="B13" s="20" t="s">
        <v>159</v>
      </c>
      <c r="C13" s="5">
        <f t="shared" si="0"/>
        <v>12</v>
      </c>
      <c r="D13" s="6" t="s">
        <v>99</v>
      </c>
      <c r="E13" s="6" t="s">
        <v>119</v>
      </c>
      <c r="F13" s="4"/>
      <c r="G13" s="20" t="s">
        <v>188</v>
      </c>
    </row>
    <row r="14" spans="1:7" ht="54" x14ac:dyDescent="0.25">
      <c r="A14" s="24"/>
      <c r="B14" s="20"/>
      <c r="C14" s="5">
        <f t="shared" si="0"/>
        <v>13</v>
      </c>
      <c r="D14" s="6" t="s">
        <v>101</v>
      </c>
      <c r="E14" s="6" t="s">
        <v>120</v>
      </c>
      <c r="F14" s="4"/>
      <c r="G14" s="20"/>
    </row>
    <row r="15" spans="1:7" ht="41.25" thickBot="1" x14ac:dyDescent="0.3">
      <c r="A15" s="25"/>
      <c r="B15" s="20"/>
      <c r="C15" s="5">
        <f t="shared" si="0"/>
        <v>14</v>
      </c>
      <c r="D15" s="6" t="s">
        <v>100</v>
      </c>
      <c r="E15" s="6" t="s">
        <v>121</v>
      </c>
      <c r="F15" s="4"/>
      <c r="G15" s="20"/>
    </row>
    <row r="16" spans="1:7" ht="54" x14ac:dyDescent="0.25">
      <c r="A16" s="23" t="s">
        <v>209</v>
      </c>
      <c r="B16" s="20" t="s">
        <v>160</v>
      </c>
      <c r="C16" s="5">
        <f t="shared" si="0"/>
        <v>15</v>
      </c>
      <c r="D16" s="6" t="s">
        <v>43</v>
      </c>
      <c r="E16" s="6" t="s">
        <v>115</v>
      </c>
      <c r="F16" s="4"/>
      <c r="G16" s="27" t="s">
        <v>181</v>
      </c>
    </row>
    <row r="17" spans="1:7" ht="40.5" x14ac:dyDescent="0.25">
      <c r="A17" s="24"/>
      <c r="B17" s="20"/>
      <c r="C17" s="5">
        <f t="shared" si="0"/>
        <v>16</v>
      </c>
      <c r="D17" s="6" t="s">
        <v>44</v>
      </c>
      <c r="E17" s="6" t="s">
        <v>116</v>
      </c>
      <c r="F17" s="4"/>
      <c r="G17" s="27"/>
    </row>
    <row r="18" spans="1:7" ht="40.5" x14ac:dyDescent="0.25">
      <c r="A18" s="24"/>
      <c r="B18" s="20" t="s">
        <v>161</v>
      </c>
      <c r="C18" s="5">
        <f t="shared" si="0"/>
        <v>17</v>
      </c>
      <c r="D18" s="6" t="s">
        <v>45</v>
      </c>
      <c r="E18" s="6" t="s">
        <v>117</v>
      </c>
      <c r="F18" s="4"/>
      <c r="G18" s="27" t="s">
        <v>182</v>
      </c>
    </row>
    <row r="19" spans="1:7" ht="95.25" thickBot="1" x14ac:dyDescent="0.3">
      <c r="A19" s="26"/>
      <c r="B19" s="20"/>
      <c r="C19" s="5">
        <f t="shared" si="0"/>
        <v>18</v>
      </c>
      <c r="D19" s="6" t="s">
        <v>46</v>
      </c>
      <c r="E19" s="6" t="s">
        <v>118</v>
      </c>
      <c r="F19" s="4"/>
      <c r="G19" s="27"/>
    </row>
    <row r="20" spans="1:7" ht="40.5" x14ac:dyDescent="0.25">
      <c r="A20" s="29" t="s">
        <v>11</v>
      </c>
      <c r="B20" s="20" t="s">
        <v>162</v>
      </c>
      <c r="C20" s="8">
        <f t="shared" si="0"/>
        <v>19</v>
      </c>
      <c r="D20" s="6" t="s">
        <v>47</v>
      </c>
      <c r="E20" s="6" t="s">
        <v>122</v>
      </c>
      <c r="F20" s="7"/>
      <c r="G20" s="7"/>
    </row>
    <row r="21" spans="1:7" ht="54" x14ac:dyDescent="0.25">
      <c r="A21" s="29"/>
      <c r="B21" s="20"/>
      <c r="C21" s="8">
        <f t="shared" si="0"/>
        <v>20</v>
      </c>
      <c r="D21" s="6" t="s">
        <v>48</v>
      </c>
      <c r="E21" s="6" t="s">
        <v>123</v>
      </c>
      <c r="F21" s="7"/>
      <c r="G21" s="7"/>
    </row>
    <row r="22" spans="1:7" ht="67.5" x14ac:dyDescent="0.25">
      <c r="A22" s="29"/>
      <c r="B22" s="20"/>
      <c r="C22" s="8">
        <f t="shared" si="0"/>
        <v>21</v>
      </c>
      <c r="D22" s="6" t="s">
        <v>23</v>
      </c>
      <c r="E22" s="6" t="s">
        <v>124</v>
      </c>
      <c r="F22" s="7"/>
      <c r="G22" s="7"/>
    </row>
    <row r="23" spans="1:7" ht="40.5" x14ac:dyDescent="0.25">
      <c r="A23" s="29"/>
      <c r="B23" s="20" t="s">
        <v>163</v>
      </c>
      <c r="C23" s="8">
        <f t="shared" si="0"/>
        <v>22</v>
      </c>
      <c r="D23" s="6" t="s">
        <v>49</v>
      </c>
      <c r="E23" s="6" t="s">
        <v>125</v>
      </c>
      <c r="F23" s="7"/>
      <c r="G23" s="7"/>
    </row>
    <row r="24" spans="1:7" ht="67.5" x14ac:dyDescent="0.25">
      <c r="A24" s="29"/>
      <c r="B24" s="20"/>
      <c r="C24" s="8">
        <f t="shared" si="0"/>
        <v>23</v>
      </c>
      <c r="D24" s="6" t="s">
        <v>50</v>
      </c>
      <c r="E24" s="6" t="s">
        <v>126</v>
      </c>
      <c r="F24" s="7"/>
      <c r="G24" s="7"/>
    </row>
    <row r="25" spans="1:7" ht="40.5" x14ac:dyDescent="0.25">
      <c r="A25" s="29"/>
      <c r="B25" s="20" t="s">
        <v>164</v>
      </c>
      <c r="C25" s="8">
        <f t="shared" si="0"/>
        <v>24</v>
      </c>
      <c r="D25" s="6" t="s">
        <v>24</v>
      </c>
      <c r="E25" s="6" t="s">
        <v>127</v>
      </c>
      <c r="F25" s="7"/>
      <c r="G25" s="7"/>
    </row>
    <row r="26" spans="1:7" ht="67.5" x14ac:dyDescent="0.25">
      <c r="A26" s="29"/>
      <c r="B26" s="20"/>
      <c r="C26" s="8">
        <f t="shared" si="0"/>
        <v>25</v>
      </c>
      <c r="D26" s="6" t="s">
        <v>51</v>
      </c>
      <c r="E26" s="6" t="s">
        <v>128</v>
      </c>
      <c r="F26" s="4" t="s">
        <v>184</v>
      </c>
      <c r="G26" s="7"/>
    </row>
    <row r="27" spans="1:7" ht="54" x14ac:dyDescent="0.25">
      <c r="A27" s="29"/>
      <c r="B27" s="4" t="s">
        <v>165</v>
      </c>
      <c r="C27" s="8">
        <f t="shared" si="0"/>
        <v>26</v>
      </c>
      <c r="D27" s="6" t="s">
        <v>52</v>
      </c>
      <c r="E27" s="6" t="s">
        <v>129</v>
      </c>
      <c r="F27" s="7"/>
      <c r="G27" s="7"/>
    </row>
    <row r="28" spans="1:7" ht="54" x14ac:dyDescent="0.25">
      <c r="A28" s="29"/>
      <c r="B28" s="4" t="s">
        <v>166</v>
      </c>
      <c r="C28" s="8">
        <f t="shared" si="0"/>
        <v>27</v>
      </c>
      <c r="D28" s="6" t="s">
        <v>53</v>
      </c>
      <c r="E28" s="6" t="s">
        <v>130</v>
      </c>
      <c r="F28" s="7"/>
      <c r="G28" s="7"/>
    </row>
    <row r="29" spans="1:7" ht="54" x14ac:dyDescent="0.25">
      <c r="A29" s="30" t="s">
        <v>15</v>
      </c>
      <c r="B29" s="20" t="s">
        <v>167</v>
      </c>
      <c r="C29" s="5">
        <f t="shared" si="0"/>
        <v>28</v>
      </c>
      <c r="D29" s="6" t="s">
        <v>54</v>
      </c>
      <c r="E29" s="6" t="s">
        <v>131</v>
      </c>
      <c r="F29" s="7"/>
      <c r="G29" s="7"/>
    </row>
    <row r="30" spans="1:7" ht="54" x14ac:dyDescent="0.25">
      <c r="A30" s="30"/>
      <c r="B30" s="20"/>
      <c r="C30" s="5">
        <f t="shared" si="0"/>
        <v>29</v>
      </c>
      <c r="D30" s="6" t="s">
        <v>55</v>
      </c>
      <c r="E30" s="6" t="s">
        <v>132</v>
      </c>
      <c r="F30" s="7"/>
      <c r="G30" s="7"/>
    </row>
    <row r="31" spans="1:7" ht="27" x14ac:dyDescent="0.25">
      <c r="A31" s="30"/>
      <c r="B31" s="20"/>
      <c r="C31" s="5">
        <f t="shared" si="0"/>
        <v>30</v>
      </c>
      <c r="D31" s="6" t="s">
        <v>56</v>
      </c>
      <c r="E31" s="6" t="s">
        <v>133</v>
      </c>
      <c r="F31" s="7"/>
      <c r="G31" s="7"/>
    </row>
    <row r="32" spans="1:7" ht="54" x14ac:dyDescent="0.25">
      <c r="A32" s="30"/>
      <c r="B32" s="20"/>
      <c r="C32" s="5">
        <f t="shared" si="0"/>
        <v>31</v>
      </c>
      <c r="D32" s="6" t="s">
        <v>102</v>
      </c>
      <c r="E32" s="6" t="s">
        <v>134</v>
      </c>
      <c r="F32" s="7"/>
      <c r="G32" s="7"/>
    </row>
    <row r="33" spans="1:7" ht="40.5" x14ac:dyDescent="0.25">
      <c r="A33" s="30"/>
      <c r="B33" s="20" t="s">
        <v>168</v>
      </c>
      <c r="C33" s="5">
        <f t="shared" si="0"/>
        <v>32</v>
      </c>
      <c r="D33" s="6" t="s">
        <v>57</v>
      </c>
      <c r="E33" s="6" t="s">
        <v>135</v>
      </c>
      <c r="F33" s="7"/>
      <c r="G33" s="4" t="s">
        <v>189</v>
      </c>
    </row>
    <row r="34" spans="1:7" ht="67.5" x14ac:dyDescent="0.25">
      <c r="A34" s="30"/>
      <c r="B34" s="20"/>
      <c r="C34" s="5">
        <f t="shared" si="0"/>
        <v>33</v>
      </c>
      <c r="D34" s="6" t="s">
        <v>58</v>
      </c>
      <c r="E34" s="6" t="s">
        <v>136</v>
      </c>
      <c r="F34" s="7"/>
      <c r="G34" s="7"/>
    </row>
    <row r="35" spans="1:7" ht="40.5" x14ac:dyDescent="0.25">
      <c r="A35" s="30"/>
      <c r="B35" s="20"/>
      <c r="C35" s="5">
        <f t="shared" si="0"/>
        <v>34</v>
      </c>
      <c r="D35" s="6" t="s">
        <v>59</v>
      </c>
      <c r="E35" s="6" t="s">
        <v>137</v>
      </c>
      <c r="F35" s="7"/>
      <c r="G35" s="7"/>
    </row>
    <row r="36" spans="1:7" ht="81" x14ac:dyDescent="0.25">
      <c r="A36" s="30"/>
      <c r="B36" s="20"/>
      <c r="C36" s="5">
        <f t="shared" si="0"/>
        <v>35</v>
      </c>
      <c r="D36" s="6" t="s">
        <v>60</v>
      </c>
      <c r="E36" s="6" t="s">
        <v>138</v>
      </c>
      <c r="F36" s="7"/>
      <c r="G36" s="7"/>
    </row>
    <row r="37" spans="1:7" ht="40.5" x14ac:dyDescent="0.25">
      <c r="A37" s="30"/>
      <c r="B37" s="20"/>
      <c r="C37" s="5">
        <f t="shared" si="0"/>
        <v>36</v>
      </c>
      <c r="D37" s="6" t="s">
        <v>61</v>
      </c>
      <c r="E37" s="6" t="s">
        <v>139</v>
      </c>
      <c r="F37" s="7"/>
      <c r="G37" s="7"/>
    </row>
    <row r="38" spans="1:7" ht="40.5" x14ac:dyDescent="0.25">
      <c r="A38" s="28" t="s">
        <v>0</v>
      </c>
      <c r="B38" s="20" t="s">
        <v>170</v>
      </c>
      <c r="C38" s="5">
        <f t="shared" si="0"/>
        <v>37</v>
      </c>
      <c r="D38" s="6" t="s">
        <v>62</v>
      </c>
      <c r="E38" s="6" t="s">
        <v>145</v>
      </c>
      <c r="F38" s="7"/>
      <c r="G38" s="10"/>
    </row>
    <row r="39" spans="1:7" ht="27" x14ac:dyDescent="0.25">
      <c r="A39" s="28"/>
      <c r="B39" s="20"/>
      <c r="C39" s="5">
        <f t="shared" si="0"/>
        <v>38</v>
      </c>
      <c r="D39" s="6" t="s">
        <v>63</v>
      </c>
      <c r="E39" s="6" t="s">
        <v>146</v>
      </c>
      <c r="F39" s="7"/>
      <c r="G39" s="11" t="s">
        <v>174</v>
      </c>
    </row>
    <row r="40" spans="1:7" ht="67.5" x14ac:dyDescent="0.25">
      <c r="A40" s="28"/>
      <c r="B40" s="20"/>
      <c r="C40" s="5">
        <f t="shared" si="0"/>
        <v>39</v>
      </c>
      <c r="D40" s="6" t="s">
        <v>64</v>
      </c>
      <c r="E40" s="6" t="s">
        <v>147</v>
      </c>
      <c r="F40" s="7"/>
      <c r="G40" s="10"/>
    </row>
    <row r="41" spans="1:7" ht="40.5" x14ac:dyDescent="0.25">
      <c r="A41" s="28"/>
      <c r="B41" s="20"/>
      <c r="C41" s="5">
        <f t="shared" si="0"/>
        <v>40</v>
      </c>
      <c r="D41" s="6" t="s">
        <v>65</v>
      </c>
      <c r="E41" s="6" t="s">
        <v>148</v>
      </c>
      <c r="F41" s="7"/>
      <c r="G41" s="11" t="s">
        <v>187</v>
      </c>
    </row>
    <row r="42" spans="1:7" ht="40.5" x14ac:dyDescent="0.25">
      <c r="A42" s="28"/>
      <c r="B42" s="20" t="s">
        <v>169</v>
      </c>
      <c r="C42" s="5">
        <f t="shared" si="0"/>
        <v>41</v>
      </c>
      <c r="D42" s="6" t="s">
        <v>66</v>
      </c>
      <c r="E42" s="6" t="s">
        <v>140</v>
      </c>
      <c r="F42" s="7"/>
      <c r="G42" s="10" t="s">
        <v>191</v>
      </c>
    </row>
    <row r="43" spans="1:7" ht="54" x14ac:dyDescent="0.25">
      <c r="A43" s="28"/>
      <c r="B43" s="20"/>
      <c r="C43" s="5">
        <f t="shared" si="0"/>
        <v>42</v>
      </c>
      <c r="D43" s="6" t="s">
        <v>67</v>
      </c>
      <c r="E43" s="6" t="s">
        <v>141</v>
      </c>
      <c r="F43" s="7"/>
      <c r="G43" s="10"/>
    </row>
    <row r="44" spans="1:7" ht="67.5" x14ac:dyDescent="0.25">
      <c r="A44" s="28"/>
      <c r="B44" s="20"/>
      <c r="C44" s="5">
        <f t="shared" si="0"/>
        <v>43</v>
      </c>
      <c r="D44" s="6" t="s">
        <v>68</v>
      </c>
      <c r="E44" s="6" t="s">
        <v>142</v>
      </c>
      <c r="F44" s="7"/>
      <c r="G44" s="11" t="s">
        <v>186</v>
      </c>
    </row>
    <row r="45" spans="1:7" ht="40.5" x14ac:dyDescent="0.25">
      <c r="A45" s="28"/>
      <c r="B45" s="20"/>
      <c r="C45" s="5">
        <f t="shared" si="0"/>
        <v>44</v>
      </c>
      <c r="D45" s="6" t="s">
        <v>69</v>
      </c>
      <c r="E45" s="6" t="s">
        <v>143</v>
      </c>
      <c r="F45" s="7"/>
      <c r="G45" s="10"/>
    </row>
    <row r="46" spans="1:7" ht="54" x14ac:dyDescent="0.25">
      <c r="A46" s="28"/>
      <c r="B46" s="20"/>
      <c r="C46" s="5">
        <f t="shared" si="0"/>
        <v>45</v>
      </c>
      <c r="D46" s="6" t="s">
        <v>70</v>
      </c>
      <c r="E46" s="6" t="s">
        <v>144</v>
      </c>
      <c r="F46" s="7"/>
      <c r="G46" s="10"/>
    </row>
    <row r="47" spans="1:7" ht="54" x14ac:dyDescent="0.25">
      <c r="A47" s="28"/>
      <c r="B47" s="20" t="s">
        <v>171</v>
      </c>
      <c r="C47" s="5">
        <f t="shared" si="0"/>
        <v>46</v>
      </c>
      <c r="D47" s="6" t="s">
        <v>71</v>
      </c>
      <c r="E47" s="6" t="s">
        <v>149</v>
      </c>
      <c r="F47" s="7"/>
      <c r="G47" s="7"/>
    </row>
    <row r="48" spans="1:7" ht="67.5" x14ac:dyDescent="0.25">
      <c r="A48" s="28"/>
      <c r="B48" s="20"/>
      <c r="C48" s="5">
        <f t="shared" si="0"/>
        <v>47</v>
      </c>
      <c r="D48" s="6" t="s">
        <v>72</v>
      </c>
      <c r="E48" s="6" t="s">
        <v>150</v>
      </c>
      <c r="F48" s="7"/>
      <c r="G48" s="7"/>
    </row>
    <row r="49" spans="1:7" ht="40.5" x14ac:dyDescent="0.25">
      <c r="A49" s="28"/>
      <c r="B49" s="20"/>
      <c r="C49" s="5">
        <f t="shared" si="0"/>
        <v>48</v>
      </c>
      <c r="D49" s="6" t="s">
        <v>73</v>
      </c>
      <c r="E49" s="6" t="s">
        <v>151</v>
      </c>
      <c r="F49" s="7"/>
      <c r="G49" s="7"/>
    </row>
  </sheetData>
  <mergeCells count="25">
    <mergeCell ref="A38:A49"/>
    <mergeCell ref="B38:B41"/>
    <mergeCell ref="B42:B46"/>
    <mergeCell ref="B47:B49"/>
    <mergeCell ref="A20:A28"/>
    <mergeCell ref="B20:B22"/>
    <mergeCell ref="B23:B24"/>
    <mergeCell ref="B25:B26"/>
    <mergeCell ref="A29:A37"/>
    <mergeCell ref="B29:B32"/>
    <mergeCell ref="B33:B37"/>
    <mergeCell ref="A13:A15"/>
    <mergeCell ref="B13:B15"/>
    <mergeCell ref="G13:G15"/>
    <mergeCell ref="A16:A19"/>
    <mergeCell ref="B16:B17"/>
    <mergeCell ref="G16:G17"/>
    <mergeCell ref="B18:B19"/>
    <mergeCell ref="G18:G19"/>
    <mergeCell ref="A2:A7"/>
    <mergeCell ref="B2:B4"/>
    <mergeCell ref="B5:B7"/>
    <mergeCell ref="F5:F7"/>
    <mergeCell ref="A8:A12"/>
    <mergeCell ref="B9:B12"/>
  </mergeCells>
  <hyperlinks>
    <hyperlink ref="D20" location="_ftn1" display="_ftn1" xr:uid="{9C95B230-3E49-436D-8FC3-B976DEB28606}"/>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D5FE-C19E-4C0B-BDF5-0FD190A1A416}">
  <sheetPr>
    <tabColor theme="9"/>
  </sheetPr>
  <dimension ref="A1:G100"/>
  <sheetViews>
    <sheetView workbookViewId="0">
      <selection activeCell="D33" sqref="D33"/>
    </sheetView>
  </sheetViews>
  <sheetFormatPr defaultRowHeight="15" x14ac:dyDescent="0.25"/>
  <cols>
    <col min="1" max="1" width="17.85546875" bestFit="1" customWidth="1"/>
    <col min="2" max="2" width="8.42578125" bestFit="1" customWidth="1"/>
    <col min="3" max="3" width="15.140625" bestFit="1" customWidth="1"/>
    <col min="4" max="4" width="50.7109375" bestFit="1" customWidth="1"/>
    <col min="5" max="5" width="104.85546875" bestFit="1" customWidth="1"/>
    <col min="6" max="6" width="8.140625" bestFit="1" customWidth="1"/>
    <col min="7" max="7" width="24.85546875" bestFit="1" customWidth="1"/>
  </cols>
  <sheetData>
    <row r="1" spans="1:7" x14ac:dyDescent="0.25">
      <c r="A1" s="12" t="s">
        <v>220</v>
      </c>
      <c r="B1" s="12" t="s">
        <v>224</v>
      </c>
      <c r="C1" s="12" t="s">
        <v>222</v>
      </c>
      <c r="D1" s="12" t="s">
        <v>223</v>
      </c>
      <c r="E1" s="12" t="s">
        <v>224</v>
      </c>
      <c r="F1" s="12" t="s">
        <v>225</v>
      </c>
      <c r="G1" s="12" t="s">
        <v>226</v>
      </c>
    </row>
    <row r="2" spans="1:7" x14ac:dyDescent="0.25">
      <c r="A2" t="s">
        <v>2</v>
      </c>
      <c r="B2">
        <v>1</v>
      </c>
      <c r="C2" t="s">
        <v>227</v>
      </c>
      <c r="D2" t="s">
        <v>3</v>
      </c>
      <c r="E2" t="s">
        <v>104</v>
      </c>
      <c r="F2" t="s">
        <v>228</v>
      </c>
    </row>
    <row r="3" spans="1:7" x14ac:dyDescent="0.25">
      <c r="A3" t="s">
        <v>2</v>
      </c>
      <c r="B3">
        <v>2</v>
      </c>
      <c r="C3" t="s">
        <v>227</v>
      </c>
      <c r="D3" t="s">
        <v>3</v>
      </c>
      <c r="E3" t="s">
        <v>105</v>
      </c>
      <c r="F3" t="s">
        <v>228</v>
      </c>
    </row>
    <row r="4" spans="1:7" x14ac:dyDescent="0.25">
      <c r="A4" t="s">
        <v>2</v>
      </c>
      <c r="B4">
        <v>3</v>
      </c>
      <c r="C4" t="s">
        <v>227</v>
      </c>
      <c r="D4" t="s">
        <v>3</v>
      </c>
      <c r="E4" t="s">
        <v>106</v>
      </c>
      <c r="F4" t="s">
        <v>228</v>
      </c>
    </row>
    <row r="5" spans="1:7" x14ac:dyDescent="0.25">
      <c r="A5" t="s">
        <v>2</v>
      </c>
      <c r="B5">
        <v>4</v>
      </c>
      <c r="C5" t="s">
        <v>177</v>
      </c>
      <c r="D5" t="s">
        <v>4</v>
      </c>
      <c r="E5" t="s">
        <v>107</v>
      </c>
      <c r="F5" t="s">
        <v>228</v>
      </c>
    </row>
    <row r="6" spans="1:7" x14ac:dyDescent="0.25">
      <c r="A6" t="s">
        <v>2</v>
      </c>
      <c r="B6">
        <v>5</v>
      </c>
      <c r="C6" t="s">
        <v>177</v>
      </c>
      <c r="D6" t="s">
        <v>4</v>
      </c>
      <c r="E6" t="s">
        <v>108</v>
      </c>
      <c r="F6" t="s">
        <v>228</v>
      </c>
    </row>
    <row r="7" spans="1:7" x14ac:dyDescent="0.25">
      <c r="A7" t="s">
        <v>2</v>
      </c>
      <c r="B7">
        <v>6</v>
      </c>
      <c r="C7" t="s">
        <v>177</v>
      </c>
      <c r="D7" t="s">
        <v>4</v>
      </c>
      <c r="E7" t="s">
        <v>109</v>
      </c>
      <c r="F7" t="s">
        <v>228</v>
      </c>
    </row>
    <row r="8" spans="1:7" x14ac:dyDescent="0.25">
      <c r="A8" s="14" t="s">
        <v>2</v>
      </c>
      <c r="B8" s="14">
        <v>8</v>
      </c>
      <c r="C8" s="14" t="s">
        <v>173</v>
      </c>
      <c r="D8" s="14" t="s">
        <v>7</v>
      </c>
      <c r="E8" s="14" t="s">
        <v>111</v>
      </c>
      <c r="F8" s="14" t="s">
        <v>229</v>
      </c>
      <c r="G8" s="14" t="s">
        <v>175</v>
      </c>
    </row>
    <row r="9" spans="1:7" x14ac:dyDescent="0.25">
      <c r="A9" s="14" t="s">
        <v>2</v>
      </c>
      <c r="B9" s="14">
        <v>9</v>
      </c>
      <c r="C9" s="14" t="s">
        <v>173</v>
      </c>
      <c r="D9" s="14" t="s">
        <v>7</v>
      </c>
      <c r="E9" s="14" t="s">
        <v>112</v>
      </c>
      <c r="F9" s="14" t="s">
        <v>229</v>
      </c>
      <c r="G9" s="14" t="s">
        <v>175</v>
      </c>
    </row>
    <row r="10" spans="1:7" x14ac:dyDescent="0.25">
      <c r="A10" s="14" t="s">
        <v>2</v>
      </c>
      <c r="B10" s="14">
        <v>10</v>
      </c>
      <c r="C10" s="14" t="s">
        <v>173</v>
      </c>
      <c r="D10" s="14" t="s">
        <v>7</v>
      </c>
      <c r="E10" s="14" t="s">
        <v>113</v>
      </c>
      <c r="F10" s="14" t="s">
        <v>229</v>
      </c>
      <c r="G10" s="14" t="s">
        <v>175</v>
      </c>
    </row>
    <row r="11" spans="1:7" x14ac:dyDescent="0.25">
      <c r="A11" s="14" t="s">
        <v>2</v>
      </c>
      <c r="B11" s="14">
        <v>11</v>
      </c>
      <c r="C11" s="14" t="s">
        <v>173</v>
      </c>
      <c r="D11" s="14" t="s">
        <v>7</v>
      </c>
      <c r="E11" s="14" t="s">
        <v>114</v>
      </c>
      <c r="F11" s="14" t="s">
        <v>229</v>
      </c>
      <c r="G11" s="14" t="s">
        <v>175</v>
      </c>
    </row>
    <row r="12" spans="1:7" x14ac:dyDescent="0.25">
      <c r="A12" s="14" t="s">
        <v>2</v>
      </c>
      <c r="B12" s="14">
        <v>32</v>
      </c>
      <c r="C12" s="14" t="s">
        <v>172</v>
      </c>
      <c r="D12" s="14" t="s">
        <v>17</v>
      </c>
      <c r="E12" s="14" t="s">
        <v>135</v>
      </c>
      <c r="F12" s="14" t="s">
        <v>229</v>
      </c>
      <c r="G12" s="14" t="s">
        <v>174</v>
      </c>
    </row>
    <row r="13" spans="1:7" x14ac:dyDescent="0.25">
      <c r="A13" s="14" t="s">
        <v>2</v>
      </c>
      <c r="B13" s="14">
        <v>33</v>
      </c>
      <c r="C13" s="14" t="s">
        <v>172</v>
      </c>
      <c r="D13" s="14" t="s">
        <v>17</v>
      </c>
      <c r="E13" s="14" t="s">
        <v>136</v>
      </c>
      <c r="F13" s="14" t="s">
        <v>229</v>
      </c>
      <c r="G13" s="14" t="s">
        <v>174</v>
      </c>
    </row>
    <row r="14" spans="1:7" x14ac:dyDescent="0.25">
      <c r="A14" s="14" t="s">
        <v>2</v>
      </c>
      <c r="B14" s="14">
        <v>34</v>
      </c>
      <c r="C14" s="14" t="s">
        <v>172</v>
      </c>
      <c r="D14" s="14" t="s">
        <v>17</v>
      </c>
      <c r="E14" s="14" t="s">
        <v>137</v>
      </c>
      <c r="F14" s="14" t="s">
        <v>229</v>
      </c>
      <c r="G14" s="14" t="s">
        <v>174</v>
      </c>
    </row>
    <row r="15" spans="1:7" x14ac:dyDescent="0.25">
      <c r="A15" s="14" t="s">
        <v>2</v>
      </c>
      <c r="B15" s="14">
        <v>35</v>
      </c>
      <c r="C15" s="14" t="s">
        <v>172</v>
      </c>
      <c r="D15" s="14" t="s">
        <v>17</v>
      </c>
      <c r="E15" s="14" t="s">
        <v>138</v>
      </c>
      <c r="F15" s="14" t="s">
        <v>229</v>
      </c>
      <c r="G15" s="14" t="s">
        <v>174</v>
      </c>
    </row>
    <row r="16" spans="1:7" x14ac:dyDescent="0.25">
      <c r="A16" s="14" t="s">
        <v>2</v>
      </c>
      <c r="B16" s="14">
        <v>36</v>
      </c>
      <c r="C16" s="14" t="s">
        <v>172</v>
      </c>
      <c r="D16" s="14" t="s">
        <v>17</v>
      </c>
      <c r="E16" s="14" t="s">
        <v>139</v>
      </c>
      <c r="F16" s="14" t="s">
        <v>229</v>
      </c>
      <c r="G16" s="14" t="s">
        <v>174</v>
      </c>
    </row>
    <row r="17" spans="1:7" x14ac:dyDescent="0.25">
      <c r="A17" s="14" t="s">
        <v>5</v>
      </c>
      <c r="B17" s="14">
        <v>4</v>
      </c>
      <c r="C17" s="14" t="s">
        <v>177</v>
      </c>
      <c r="D17" s="14" t="s">
        <v>4</v>
      </c>
      <c r="E17" s="14" t="s">
        <v>107</v>
      </c>
      <c r="F17" s="14" t="s">
        <v>229</v>
      </c>
      <c r="G17" s="14" t="s">
        <v>179</v>
      </c>
    </row>
    <row r="18" spans="1:7" x14ac:dyDescent="0.25">
      <c r="A18" s="14" t="s">
        <v>5</v>
      </c>
      <c r="B18" s="14">
        <v>5</v>
      </c>
      <c r="C18" s="14" t="s">
        <v>177</v>
      </c>
      <c r="D18" s="14" t="s">
        <v>4</v>
      </c>
      <c r="E18" s="14" t="s">
        <v>108</v>
      </c>
      <c r="F18" s="14" t="s">
        <v>229</v>
      </c>
      <c r="G18" s="14" t="s">
        <v>179</v>
      </c>
    </row>
    <row r="19" spans="1:7" x14ac:dyDescent="0.25">
      <c r="A19" s="14" t="s">
        <v>5</v>
      </c>
      <c r="B19" s="14">
        <v>6</v>
      </c>
      <c r="C19" s="14" t="s">
        <v>177</v>
      </c>
      <c r="D19" s="14" t="s">
        <v>4</v>
      </c>
      <c r="E19" s="14" t="s">
        <v>109</v>
      </c>
      <c r="F19" s="14" t="s">
        <v>229</v>
      </c>
      <c r="G19" s="14" t="s">
        <v>179</v>
      </c>
    </row>
    <row r="20" spans="1:7" x14ac:dyDescent="0.25">
      <c r="A20" t="s">
        <v>5</v>
      </c>
      <c r="B20">
        <v>7</v>
      </c>
      <c r="C20" t="s">
        <v>183</v>
      </c>
      <c r="D20" t="s">
        <v>6</v>
      </c>
      <c r="E20" t="s">
        <v>110</v>
      </c>
      <c r="F20" t="s">
        <v>228</v>
      </c>
    </row>
    <row r="21" spans="1:7" x14ac:dyDescent="0.25">
      <c r="A21" t="s">
        <v>5</v>
      </c>
      <c r="B21">
        <v>8</v>
      </c>
      <c r="C21" t="s">
        <v>173</v>
      </c>
      <c r="D21" t="s">
        <v>7</v>
      </c>
      <c r="E21" t="s">
        <v>111</v>
      </c>
      <c r="F21" t="s">
        <v>228</v>
      </c>
    </row>
    <row r="22" spans="1:7" x14ac:dyDescent="0.25">
      <c r="A22" t="s">
        <v>5</v>
      </c>
      <c r="B22">
        <v>9</v>
      </c>
      <c r="C22" t="s">
        <v>173</v>
      </c>
      <c r="D22" t="s">
        <v>7</v>
      </c>
      <c r="E22" t="s">
        <v>112</v>
      </c>
      <c r="F22" t="s">
        <v>228</v>
      </c>
    </row>
    <row r="23" spans="1:7" x14ac:dyDescent="0.25">
      <c r="A23" t="s">
        <v>5</v>
      </c>
      <c r="B23">
        <v>10</v>
      </c>
      <c r="C23" t="s">
        <v>173</v>
      </c>
      <c r="D23" t="s">
        <v>7</v>
      </c>
      <c r="E23" t="s">
        <v>113</v>
      </c>
      <c r="F23" t="s">
        <v>228</v>
      </c>
    </row>
    <row r="24" spans="1:7" x14ac:dyDescent="0.25">
      <c r="A24" t="s">
        <v>5</v>
      </c>
      <c r="B24">
        <v>11</v>
      </c>
      <c r="C24" t="s">
        <v>173</v>
      </c>
      <c r="D24" t="s">
        <v>7</v>
      </c>
      <c r="E24" t="s">
        <v>114</v>
      </c>
      <c r="F24" t="s">
        <v>228</v>
      </c>
    </row>
    <row r="25" spans="1:7" x14ac:dyDescent="0.25">
      <c r="A25" s="14" t="s">
        <v>5</v>
      </c>
      <c r="B25" s="14">
        <v>24</v>
      </c>
      <c r="C25" s="14" t="s">
        <v>176</v>
      </c>
      <c r="D25" s="14" t="s">
        <v>14</v>
      </c>
      <c r="E25" s="14" t="s">
        <v>127</v>
      </c>
      <c r="F25" s="14" t="s">
        <v>229</v>
      </c>
      <c r="G25" s="14" t="s">
        <v>178</v>
      </c>
    </row>
    <row r="26" spans="1:7" x14ac:dyDescent="0.25">
      <c r="A26" s="14" t="s">
        <v>5</v>
      </c>
      <c r="B26" s="14">
        <v>25</v>
      </c>
      <c r="C26" s="14" t="s">
        <v>176</v>
      </c>
      <c r="D26" s="14" t="s">
        <v>14</v>
      </c>
      <c r="E26" s="14" t="s">
        <v>128</v>
      </c>
      <c r="F26" s="14" t="s">
        <v>229</v>
      </c>
      <c r="G26" s="14" t="s">
        <v>178</v>
      </c>
    </row>
    <row r="27" spans="1:7" x14ac:dyDescent="0.25">
      <c r="A27" s="14" t="s">
        <v>5</v>
      </c>
      <c r="B27" s="14">
        <v>37</v>
      </c>
      <c r="C27" s="14" t="s">
        <v>230</v>
      </c>
      <c r="D27" s="14" t="s">
        <v>19</v>
      </c>
      <c r="E27" s="14" t="s">
        <v>145</v>
      </c>
      <c r="F27" s="14" t="s">
        <v>229</v>
      </c>
      <c r="G27" s="14" t="s">
        <v>231</v>
      </c>
    </row>
    <row r="28" spans="1:7" x14ac:dyDescent="0.25">
      <c r="A28" s="14" t="s">
        <v>5</v>
      </c>
      <c r="B28" s="14">
        <v>38</v>
      </c>
      <c r="C28" s="14" t="s">
        <v>230</v>
      </c>
      <c r="D28" s="14" t="s">
        <v>19</v>
      </c>
      <c r="E28" s="14" t="s">
        <v>146</v>
      </c>
      <c r="F28" s="14" t="s">
        <v>229</v>
      </c>
      <c r="G28" s="14" t="s">
        <v>231</v>
      </c>
    </row>
    <row r="29" spans="1:7" x14ac:dyDescent="0.25">
      <c r="A29" s="14" t="s">
        <v>5</v>
      </c>
      <c r="B29" s="14">
        <v>39</v>
      </c>
      <c r="C29" s="14" t="s">
        <v>230</v>
      </c>
      <c r="D29" s="14" t="s">
        <v>19</v>
      </c>
      <c r="E29" s="14" t="s">
        <v>147</v>
      </c>
      <c r="F29" s="14" t="s">
        <v>229</v>
      </c>
      <c r="G29" s="14" t="s">
        <v>231</v>
      </c>
    </row>
    <row r="30" spans="1:7" x14ac:dyDescent="0.25">
      <c r="A30" s="14" t="s">
        <v>5</v>
      </c>
      <c r="B30" s="14">
        <v>40</v>
      </c>
      <c r="C30" s="14" t="s">
        <v>230</v>
      </c>
      <c r="D30" s="14" t="s">
        <v>19</v>
      </c>
      <c r="E30" s="14" t="s">
        <v>148</v>
      </c>
      <c r="F30" s="14" t="s">
        <v>229</v>
      </c>
      <c r="G30" s="14" t="s">
        <v>231</v>
      </c>
    </row>
    <row r="31" spans="1:7" x14ac:dyDescent="0.25">
      <c r="A31" t="s">
        <v>205</v>
      </c>
      <c r="B31">
        <v>12</v>
      </c>
      <c r="C31" t="s">
        <v>186</v>
      </c>
      <c r="D31" t="s">
        <v>10</v>
      </c>
      <c r="E31" t="s">
        <v>119</v>
      </c>
      <c r="F31" t="s">
        <v>228</v>
      </c>
    </row>
    <row r="32" spans="1:7" x14ac:dyDescent="0.25">
      <c r="A32" t="s">
        <v>205</v>
      </c>
      <c r="B32">
        <v>13</v>
      </c>
      <c r="C32" t="s">
        <v>186</v>
      </c>
      <c r="D32" t="s">
        <v>10</v>
      </c>
      <c r="E32" t="s">
        <v>120</v>
      </c>
      <c r="F32" t="s">
        <v>228</v>
      </c>
    </row>
    <row r="33" spans="1:7" x14ac:dyDescent="0.25">
      <c r="A33" t="s">
        <v>205</v>
      </c>
      <c r="B33">
        <v>14</v>
      </c>
      <c r="C33" t="s">
        <v>186</v>
      </c>
      <c r="D33" t="s">
        <v>10</v>
      </c>
      <c r="E33" t="s">
        <v>121</v>
      </c>
      <c r="F33" t="s">
        <v>228</v>
      </c>
    </row>
    <row r="34" spans="1:7" x14ac:dyDescent="0.25">
      <c r="A34" s="14" t="s">
        <v>205</v>
      </c>
      <c r="B34" s="14">
        <v>37</v>
      </c>
      <c r="C34" s="14" t="s">
        <v>230</v>
      </c>
      <c r="D34" s="14" t="s">
        <v>19</v>
      </c>
      <c r="E34" s="14" t="s">
        <v>145</v>
      </c>
      <c r="F34" s="14" t="s">
        <v>229</v>
      </c>
      <c r="G34" s="14" t="s">
        <v>231</v>
      </c>
    </row>
    <row r="35" spans="1:7" x14ac:dyDescent="0.25">
      <c r="A35" s="14" t="s">
        <v>205</v>
      </c>
      <c r="B35" s="14">
        <v>38</v>
      </c>
      <c r="C35" s="14" t="s">
        <v>230</v>
      </c>
      <c r="D35" s="14" t="s">
        <v>19</v>
      </c>
      <c r="E35" s="14" t="s">
        <v>146</v>
      </c>
      <c r="F35" s="14" t="s">
        <v>229</v>
      </c>
      <c r="G35" s="14" t="s">
        <v>231</v>
      </c>
    </row>
    <row r="36" spans="1:7" x14ac:dyDescent="0.25">
      <c r="A36" s="14" t="s">
        <v>205</v>
      </c>
      <c r="B36" s="14">
        <v>39</v>
      </c>
      <c r="C36" s="14" t="s">
        <v>230</v>
      </c>
      <c r="D36" s="14" t="s">
        <v>19</v>
      </c>
      <c r="E36" s="14" t="s">
        <v>147</v>
      </c>
      <c r="F36" s="14" t="s">
        <v>229</v>
      </c>
      <c r="G36" s="14" t="s">
        <v>231</v>
      </c>
    </row>
    <row r="37" spans="1:7" x14ac:dyDescent="0.25">
      <c r="A37" s="14" t="s">
        <v>205</v>
      </c>
      <c r="B37" s="14">
        <v>40</v>
      </c>
      <c r="C37" s="14" t="s">
        <v>230</v>
      </c>
      <c r="D37" s="14" t="s">
        <v>19</v>
      </c>
      <c r="E37" s="14" t="s">
        <v>148</v>
      </c>
      <c r="F37" s="14" t="s">
        <v>229</v>
      </c>
      <c r="G37" s="14" t="s">
        <v>231</v>
      </c>
    </row>
    <row r="38" spans="1:7" x14ac:dyDescent="0.25">
      <c r="A38" s="14" t="s">
        <v>205</v>
      </c>
      <c r="B38" s="14">
        <v>41</v>
      </c>
      <c r="C38" s="14" t="s">
        <v>232</v>
      </c>
      <c r="D38" s="14" t="s">
        <v>18</v>
      </c>
      <c r="E38" s="14" t="s">
        <v>140</v>
      </c>
      <c r="F38" s="14" t="s">
        <v>229</v>
      </c>
      <c r="G38" s="14" t="s">
        <v>233</v>
      </c>
    </row>
    <row r="39" spans="1:7" x14ac:dyDescent="0.25">
      <c r="A39" s="14" t="s">
        <v>205</v>
      </c>
      <c r="B39" s="14">
        <v>42</v>
      </c>
      <c r="C39" s="14" t="s">
        <v>232</v>
      </c>
      <c r="D39" s="14" t="s">
        <v>18</v>
      </c>
      <c r="E39" s="14" t="s">
        <v>141</v>
      </c>
      <c r="F39" s="14" t="s">
        <v>229</v>
      </c>
      <c r="G39" s="14" t="s">
        <v>233</v>
      </c>
    </row>
    <row r="40" spans="1:7" x14ac:dyDescent="0.25">
      <c r="A40" s="14" t="s">
        <v>205</v>
      </c>
      <c r="B40" s="14">
        <v>43</v>
      </c>
      <c r="C40" s="14" t="s">
        <v>232</v>
      </c>
      <c r="D40" s="14" t="s">
        <v>18</v>
      </c>
      <c r="E40" s="14" t="s">
        <v>142</v>
      </c>
      <c r="F40" s="14" t="s">
        <v>229</v>
      </c>
      <c r="G40" s="14" t="s">
        <v>233</v>
      </c>
    </row>
    <row r="41" spans="1:7" x14ac:dyDescent="0.25">
      <c r="A41" s="14" t="s">
        <v>205</v>
      </c>
      <c r="B41" s="14">
        <v>44</v>
      </c>
      <c r="C41" s="14" t="s">
        <v>232</v>
      </c>
      <c r="D41" s="14" t="s">
        <v>18</v>
      </c>
      <c r="E41" s="14" t="s">
        <v>143</v>
      </c>
      <c r="F41" s="14" t="s">
        <v>229</v>
      </c>
      <c r="G41" s="14" t="s">
        <v>233</v>
      </c>
    </row>
    <row r="42" spans="1:7" x14ac:dyDescent="0.25">
      <c r="A42" s="14" t="s">
        <v>205</v>
      </c>
      <c r="B42" s="14">
        <v>45</v>
      </c>
      <c r="C42" s="14" t="s">
        <v>232</v>
      </c>
      <c r="D42" s="14" t="s">
        <v>18</v>
      </c>
      <c r="E42" s="14" t="s">
        <v>144</v>
      </c>
      <c r="F42" s="14" t="s">
        <v>229</v>
      </c>
      <c r="G42" s="14" t="s">
        <v>233</v>
      </c>
    </row>
    <row r="43" spans="1:7" x14ac:dyDescent="0.25">
      <c r="A43" s="14" t="s">
        <v>205</v>
      </c>
      <c r="B43" s="14">
        <v>46</v>
      </c>
      <c r="C43" s="14" t="s">
        <v>234</v>
      </c>
      <c r="D43" s="14" t="s">
        <v>20</v>
      </c>
      <c r="E43" s="14" t="s">
        <v>149</v>
      </c>
      <c r="F43" s="14" t="s">
        <v>229</v>
      </c>
      <c r="G43" s="14" t="s">
        <v>235</v>
      </c>
    </row>
    <row r="44" spans="1:7" x14ac:dyDescent="0.25">
      <c r="A44" s="14" t="s">
        <v>205</v>
      </c>
      <c r="B44" s="14">
        <v>47</v>
      </c>
      <c r="C44" s="14" t="s">
        <v>234</v>
      </c>
      <c r="D44" s="14" t="s">
        <v>20</v>
      </c>
      <c r="E44" s="14" t="s">
        <v>150</v>
      </c>
      <c r="F44" s="14" t="s">
        <v>229</v>
      </c>
      <c r="G44" s="14" t="s">
        <v>235</v>
      </c>
    </row>
    <row r="45" spans="1:7" x14ac:dyDescent="0.25">
      <c r="A45" s="14" t="s">
        <v>205</v>
      </c>
      <c r="B45" s="14">
        <v>48</v>
      </c>
      <c r="C45" s="14" t="s">
        <v>234</v>
      </c>
      <c r="D45" s="14" t="s">
        <v>20</v>
      </c>
      <c r="E45" s="14" t="s">
        <v>151</v>
      </c>
      <c r="F45" s="14" t="s">
        <v>229</v>
      </c>
      <c r="G45" s="14" t="s">
        <v>235</v>
      </c>
    </row>
    <row r="46" spans="1:7" x14ac:dyDescent="0.25">
      <c r="A46" t="s">
        <v>209</v>
      </c>
      <c r="B46">
        <v>15</v>
      </c>
      <c r="C46" t="s">
        <v>236</v>
      </c>
      <c r="D46" t="s">
        <v>8</v>
      </c>
      <c r="E46" t="s">
        <v>115</v>
      </c>
      <c r="F46" t="s">
        <v>228</v>
      </c>
    </row>
    <row r="47" spans="1:7" x14ac:dyDescent="0.25">
      <c r="A47" t="s">
        <v>209</v>
      </c>
      <c r="B47">
        <v>16</v>
      </c>
      <c r="C47" t="s">
        <v>236</v>
      </c>
      <c r="D47" t="s">
        <v>8</v>
      </c>
      <c r="E47" t="s">
        <v>116</v>
      </c>
      <c r="F47" t="s">
        <v>228</v>
      </c>
    </row>
    <row r="48" spans="1:7" x14ac:dyDescent="0.25">
      <c r="A48" t="s">
        <v>209</v>
      </c>
      <c r="B48">
        <v>17</v>
      </c>
      <c r="C48" t="s">
        <v>237</v>
      </c>
      <c r="D48" t="s">
        <v>9</v>
      </c>
      <c r="E48" t="s">
        <v>117</v>
      </c>
      <c r="F48" t="s">
        <v>228</v>
      </c>
    </row>
    <row r="49" spans="1:7" x14ac:dyDescent="0.25">
      <c r="A49" t="s">
        <v>209</v>
      </c>
      <c r="B49">
        <v>18</v>
      </c>
      <c r="C49" t="s">
        <v>237</v>
      </c>
      <c r="D49" t="s">
        <v>9</v>
      </c>
      <c r="E49" t="s">
        <v>118</v>
      </c>
      <c r="F49" t="s">
        <v>228</v>
      </c>
    </row>
    <row r="50" spans="1:7" x14ac:dyDescent="0.25">
      <c r="A50" s="14" t="s">
        <v>209</v>
      </c>
      <c r="B50" s="14">
        <v>19</v>
      </c>
      <c r="C50" s="14" t="s">
        <v>238</v>
      </c>
      <c r="D50" s="14" t="s">
        <v>12</v>
      </c>
      <c r="E50" s="14" t="s">
        <v>122</v>
      </c>
      <c r="F50" s="14" t="s">
        <v>229</v>
      </c>
      <c r="G50" s="14" t="s">
        <v>239</v>
      </c>
    </row>
    <row r="51" spans="1:7" x14ac:dyDescent="0.25">
      <c r="A51" s="14" t="s">
        <v>209</v>
      </c>
      <c r="B51" s="14">
        <v>20</v>
      </c>
      <c r="C51" s="14" t="s">
        <v>238</v>
      </c>
      <c r="D51" s="14" t="s">
        <v>12</v>
      </c>
      <c r="E51" s="14" t="s">
        <v>123</v>
      </c>
      <c r="F51" s="14" t="s">
        <v>229</v>
      </c>
      <c r="G51" s="14" t="s">
        <v>239</v>
      </c>
    </row>
    <row r="52" spans="1:7" x14ac:dyDescent="0.25">
      <c r="A52" s="14" t="s">
        <v>209</v>
      </c>
      <c r="B52" s="14">
        <v>21</v>
      </c>
      <c r="C52" s="14" t="s">
        <v>238</v>
      </c>
      <c r="D52" s="14" t="s">
        <v>12</v>
      </c>
      <c r="E52" s="14" t="s">
        <v>124</v>
      </c>
      <c r="F52" s="14" t="s">
        <v>229</v>
      </c>
      <c r="G52" s="14" t="s">
        <v>239</v>
      </c>
    </row>
    <row r="53" spans="1:7" x14ac:dyDescent="0.25">
      <c r="A53" s="14" t="s">
        <v>209</v>
      </c>
      <c r="B53" s="14">
        <v>22</v>
      </c>
      <c r="C53" s="14" t="s">
        <v>153</v>
      </c>
      <c r="D53" s="14" t="s">
        <v>13</v>
      </c>
      <c r="E53" s="14" t="s">
        <v>125</v>
      </c>
      <c r="F53" s="14" t="s">
        <v>229</v>
      </c>
      <c r="G53" s="14" t="s">
        <v>182</v>
      </c>
    </row>
    <row r="54" spans="1:7" x14ac:dyDescent="0.25">
      <c r="A54" s="14" t="s">
        <v>209</v>
      </c>
      <c r="B54" s="14">
        <v>23</v>
      </c>
      <c r="C54" s="14" t="s">
        <v>153</v>
      </c>
      <c r="D54" s="14" t="s">
        <v>13</v>
      </c>
      <c r="E54" s="14" t="s">
        <v>126</v>
      </c>
      <c r="F54" s="14" t="s">
        <v>229</v>
      </c>
      <c r="G54" s="14" t="s">
        <v>182</v>
      </c>
    </row>
    <row r="55" spans="1:7" x14ac:dyDescent="0.25">
      <c r="A55" s="14" t="s">
        <v>209</v>
      </c>
      <c r="B55" s="14">
        <v>24</v>
      </c>
      <c r="C55" s="14" t="s">
        <v>176</v>
      </c>
      <c r="D55" s="14" t="s">
        <v>14</v>
      </c>
      <c r="E55" s="14" t="s">
        <v>127</v>
      </c>
      <c r="F55" s="14" t="s">
        <v>229</v>
      </c>
      <c r="G55" s="14" t="s">
        <v>178</v>
      </c>
    </row>
    <row r="56" spans="1:7" x14ac:dyDescent="0.25">
      <c r="A56" s="14" t="s">
        <v>209</v>
      </c>
      <c r="B56" s="14">
        <v>25</v>
      </c>
      <c r="C56" s="14" t="s">
        <v>176</v>
      </c>
      <c r="D56" s="14" t="s">
        <v>14</v>
      </c>
      <c r="E56" s="14" t="s">
        <v>128</v>
      </c>
      <c r="F56" s="14" t="s">
        <v>229</v>
      </c>
      <c r="G56" s="14" t="s">
        <v>178</v>
      </c>
    </row>
    <row r="57" spans="1:7" x14ac:dyDescent="0.25">
      <c r="A57" s="14" t="s">
        <v>11</v>
      </c>
      <c r="B57" s="14">
        <v>7</v>
      </c>
      <c r="C57" s="14" t="s">
        <v>183</v>
      </c>
      <c r="D57" s="14" t="s">
        <v>6</v>
      </c>
      <c r="E57" s="14" t="s">
        <v>110</v>
      </c>
      <c r="F57" s="14" t="s">
        <v>229</v>
      </c>
      <c r="G57" s="14" t="s">
        <v>184</v>
      </c>
    </row>
    <row r="58" spans="1:7" x14ac:dyDescent="0.25">
      <c r="A58" t="s">
        <v>11</v>
      </c>
      <c r="B58">
        <v>19</v>
      </c>
      <c r="C58" t="s">
        <v>238</v>
      </c>
      <c r="D58" t="s">
        <v>12</v>
      </c>
      <c r="E58" t="s">
        <v>122</v>
      </c>
      <c r="F58" t="s">
        <v>228</v>
      </c>
    </row>
    <row r="59" spans="1:7" x14ac:dyDescent="0.25">
      <c r="A59" t="s">
        <v>11</v>
      </c>
      <c r="B59">
        <v>20</v>
      </c>
      <c r="C59" t="s">
        <v>238</v>
      </c>
      <c r="D59" t="s">
        <v>12</v>
      </c>
      <c r="E59" t="s">
        <v>123</v>
      </c>
      <c r="F59" t="s">
        <v>228</v>
      </c>
    </row>
    <row r="60" spans="1:7" x14ac:dyDescent="0.25">
      <c r="A60" t="s">
        <v>11</v>
      </c>
      <c r="B60">
        <v>21</v>
      </c>
      <c r="C60" t="s">
        <v>238</v>
      </c>
      <c r="D60" t="s">
        <v>12</v>
      </c>
      <c r="E60" t="s">
        <v>124</v>
      </c>
      <c r="F60" t="s">
        <v>228</v>
      </c>
    </row>
    <row r="61" spans="1:7" x14ac:dyDescent="0.25">
      <c r="A61" t="s">
        <v>11</v>
      </c>
      <c r="B61">
        <v>22</v>
      </c>
      <c r="C61" t="s">
        <v>153</v>
      </c>
      <c r="D61" t="s">
        <v>13</v>
      </c>
      <c r="E61" t="s">
        <v>125</v>
      </c>
      <c r="F61" t="s">
        <v>228</v>
      </c>
    </row>
    <row r="62" spans="1:7" x14ac:dyDescent="0.25">
      <c r="A62" t="s">
        <v>11</v>
      </c>
      <c r="B62">
        <v>23</v>
      </c>
      <c r="C62" t="s">
        <v>153</v>
      </c>
      <c r="D62" t="s">
        <v>13</v>
      </c>
      <c r="E62" t="s">
        <v>126</v>
      </c>
      <c r="F62" t="s">
        <v>228</v>
      </c>
    </row>
    <row r="63" spans="1:7" x14ac:dyDescent="0.25">
      <c r="A63" t="s">
        <v>11</v>
      </c>
      <c r="B63">
        <v>24</v>
      </c>
      <c r="C63" t="s">
        <v>176</v>
      </c>
      <c r="D63" t="s">
        <v>14</v>
      </c>
      <c r="E63" t="s">
        <v>127</v>
      </c>
      <c r="F63" t="s">
        <v>228</v>
      </c>
    </row>
    <row r="64" spans="1:7" x14ac:dyDescent="0.25">
      <c r="A64" t="s">
        <v>11</v>
      </c>
      <c r="B64">
        <v>25</v>
      </c>
      <c r="C64" t="s">
        <v>176</v>
      </c>
      <c r="D64" t="s">
        <v>14</v>
      </c>
      <c r="E64" t="s">
        <v>128</v>
      </c>
      <c r="F64" t="s">
        <v>228</v>
      </c>
    </row>
    <row r="65" spans="1:7" x14ac:dyDescent="0.25">
      <c r="A65" t="s">
        <v>11</v>
      </c>
      <c r="B65">
        <v>26</v>
      </c>
      <c r="C65" t="s">
        <v>240</v>
      </c>
      <c r="D65" t="s">
        <v>256</v>
      </c>
      <c r="E65" t="s">
        <v>129</v>
      </c>
      <c r="F65" t="s">
        <v>228</v>
      </c>
    </row>
    <row r="66" spans="1:7" x14ac:dyDescent="0.25">
      <c r="A66" t="s">
        <v>11</v>
      </c>
      <c r="B66">
        <v>27</v>
      </c>
      <c r="C66" t="s">
        <v>185</v>
      </c>
      <c r="D66" t="s">
        <v>257</v>
      </c>
      <c r="E66" t="s">
        <v>130</v>
      </c>
      <c r="F66" t="s">
        <v>228</v>
      </c>
    </row>
    <row r="67" spans="1:7" x14ac:dyDescent="0.25">
      <c r="A67" t="s">
        <v>15</v>
      </c>
      <c r="B67">
        <v>28</v>
      </c>
      <c r="C67" t="s">
        <v>242</v>
      </c>
      <c r="D67" t="s">
        <v>16</v>
      </c>
      <c r="E67" t="s">
        <v>131</v>
      </c>
      <c r="F67" t="s">
        <v>228</v>
      </c>
    </row>
    <row r="68" spans="1:7" x14ac:dyDescent="0.25">
      <c r="A68" t="s">
        <v>15</v>
      </c>
      <c r="B68">
        <v>29</v>
      </c>
      <c r="C68" t="s">
        <v>242</v>
      </c>
      <c r="D68" t="s">
        <v>16</v>
      </c>
      <c r="E68" t="s">
        <v>243</v>
      </c>
      <c r="F68" t="s">
        <v>228</v>
      </c>
    </row>
    <row r="69" spans="1:7" x14ac:dyDescent="0.25">
      <c r="A69" t="s">
        <v>15</v>
      </c>
      <c r="B69">
        <v>30</v>
      </c>
      <c r="C69" t="s">
        <v>242</v>
      </c>
      <c r="D69" t="s">
        <v>16</v>
      </c>
      <c r="E69" t="s">
        <v>133</v>
      </c>
      <c r="F69" t="s">
        <v>228</v>
      </c>
    </row>
    <row r="70" spans="1:7" x14ac:dyDescent="0.25">
      <c r="A70" t="s">
        <v>15</v>
      </c>
      <c r="B70">
        <v>31</v>
      </c>
      <c r="C70" t="s">
        <v>242</v>
      </c>
      <c r="D70" t="s">
        <v>16</v>
      </c>
      <c r="E70" t="s">
        <v>134</v>
      </c>
      <c r="F70" t="s">
        <v>228</v>
      </c>
    </row>
    <row r="71" spans="1:7" x14ac:dyDescent="0.25">
      <c r="A71" t="s">
        <v>15</v>
      </c>
      <c r="B71">
        <v>32</v>
      </c>
      <c r="C71" t="s">
        <v>172</v>
      </c>
      <c r="D71" t="s">
        <v>17</v>
      </c>
      <c r="E71" t="s">
        <v>135</v>
      </c>
      <c r="F71" t="s">
        <v>228</v>
      </c>
    </row>
    <row r="72" spans="1:7" x14ac:dyDescent="0.25">
      <c r="A72" t="s">
        <v>15</v>
      </c>
      <c r="B72">
        <v>33</v>
      </c>
      <c r="C72" t="s">
        <v>172</v>
      </c>
      <c r="D72" t="s">
        <v>17</v>
      </c>
      <c r="E72" t="s">
        <v>136</v>
      </c>
      <c r="F72" t="s">
        <v>228</v>
      </c>
    </row>
    <row r="73" spans="1:7" x14ac:dyDescent="0.25">
      <c r="A73" t="s">
        <v>15</v>
      </c>
      <c r="B73">
        <v>34</v>
      </c>
      <c r="C73" t="s">
        <v>172</v>
      </c>
      <c r="D73" t="s">
        <v>17</v>
      </c>
      <c r="E73" t="s">
        <v>137</v>
      </c>
      <c r="F73" t="s">
        <v>228</v>
      </c>
    </row>
    <row r="74" spans="1:7" x14ac:dyDescent="0.25">
      <c r="A74" t="s">
        <v>15</v>
      </c>
      <c r="B74">
        <v>35</v>
      </c>
      <c r="C74" t="s">
        <v>172</v>
      </c>
      <c r="D74" t="s">
        <v>17</v>
      </c>
      <c r="E74" t="s">
        <v>138</v>
      </c>
      <c r="F74" t="s">
        <v>228</v>
      </c>
    </row>
    <row r="75" spans="1:7" x14ac:dyDescent="0.25">
      <c r="A75" t="s">
        <v>15</v>
      </c>
      <c r="B75">
        <v>36</v>
      </c>
      <c r="C75" t="s">
        <v>172</v>
      </c>
      <c r="D75" t="s">
        <v>17</v>
      </c>
      <c r="E75" t="s">
        <v>139</v>
      </c>
      <c r="F75" t="s">
        <v>228</v>
      </c>
    </row>
    <row r="76" spans="1:7" x14ac:dyDescent="0.25">
      <c r="A76" s="14" t="s">
        <v>15</v>
      </c>
      <c r="B76" s="14">
        <v>37</v>
      </c>
      <c r="C76" s="14" t="s">
        <v>230</v>
      </c>
      <c r="D76" s="14" t="s">
        <v>19</v>
      </c>
      <c r="E76" s="14" t="s">
        <v>145</v>
      </c>
      <c r="F76" s="14" t="s">
        <v>229</v>
      </c>
      <c r="G76" s="14" t="s">
        <v>231</v>
      </c>
    </row>
    <row r="77" spans="1:7" x14ac:dyDescent="0.25">
      <c r="A77" s="14" t="s">
        <v>15</v>
      </c>
      <c r="B77" s="14">
        <v>38</v>
      </c>
      <c r="C77" s="14" t="s">
        <v>230</v>
      </c>
      <c r="D77" s="14" t="s">
        <v>19</v>
      </c>
      <c r="E77" s="14" t="s">
        <v>146</v>
      </c>
      <c r="F77" s="14" t="s">
        <v>229</v>
      </c>
      <c r="G77" s="14" t="s">
        <v>231</v>
      </c>
    </row>
    <row r="78" spans="1:7" x14ac:dyDescent="0.25">
      <c r="A78" s="14" t="s">
        <v>15</v>
      </c>
      <c r="B78" s="14">
        <v>39</v>
      </c>
      <c r="C78" s="14" t="s">
        <v>230</v>
      </c>
      <c r="D78" s="14" t="s">
        <v>19</v>
      </c>
      <c r="E78" s="14" t="s">
        <v>147</v>
      </c>
      <c r="F78" s="14" t="s">
        <v>229</v>
      </c>
      <c r="G78" s="14" t="s">
        <v>231</v>
      </c>
    </row>
    <row r="79" spans="1:7" x14ac:dyDescent="0.25">
      <c r="A79" s="14" t="s">
        <v>15</v>
      </c>
      <c r="B79" s="14">
        <v>40</v>
      </c>
      <c r="C79" s="14" t="s">
        <v>230</v>
      </c>
      <c r="D79" s="14" t="s">
        <v>19</v>
      </c>
      <c r="E79" s="14" t="s">
        <v>148</v>
      </c>
      <c r="F79" s="14" t="s">
        <v>229</v>
      </c>
      <c r="G79" s="14" t="s">
        <v>231</v>
      </c>
    </row>
    <row r="80" spans="1:7" x14ac:dyDescent="0.25">
      <c r="A80" s="14" t="s">
        <v>0</v>
      </c>
      <c r="B80" s="14">
        <v>12</v>
      </c>
      <c r="C80" s="14" t="s">
        <v>186</v>
      </c>
      <c r="D80" s="14" t="s">
        <v>10</v>
      </c>
      <c r="E80" s="14" t="s">
        <v>119</v>
      </c>
      <c r="F80" s="14" t="s">
        <v>229</v>
      </c>
      <c r="G80" s="14" t="s">
        <v>186</v>
      </c>
    </row>
    <row r="81" spans="1:7" x14ac:dyDescent="0.25">
      <c r="A81" s="14" t="s">
        <v>0</v>
      </c>
      <c r="B81" s="14">
        <v>13</v>
      </c>
      <c r="C81" s="14" t="s">
        <v>186</v>
      </c>
      <c r="D81" s="14" t="s">
        <v>10</v>
      </c>
      <c r="E81" s="14" t="s">
        <v>120</v>
      </c>
      <c r="F81" s="14" t="s">
        <v>229</v>
      </c>
      <c r="G81" s="14" t="s">
        <v>186</v>
      </c>
    </row>
    <row r="82" spans="1:7" x14ac:dyDescent="0.25">
      <c r="A82" s="14" t="s">
        <v>0</v>
      </c>
      <c r="B82" s="14">
        <v>14</v>
      </c>
      <c r="C82" s="14" t="s">
        <v>186</v>
      </c>
      <c r="D82" s="14" t="s">
        <v>10</v>
      </c>
      <c r="E82" s="14" t="s">
        <v>121</v>
      </c>
      <c r="F82" s="14" t="s">
        <v>229</v>
      </c>
      <c r="G82" s="14" t="s">
        <v>186</v>
      </c>
    </row>
    <row r="83" spans="1:7" x14ac:dyDescent="0.25">
      <c r="A83" s="14" t="s">
        <v>0</v>
      </c>
      <c r="B83" s="14">
        <v>27</v>
      </c>
      <c r="C83" s="14" t="s">
        <v>185</v>
      </c>
      <c r="D83" s="14" t="s">
        <v>257</v>
      </c>
      <c r="E83" s="14" t="s">
        <v>130</v>
      </c>
      <c r="F83" s="14" t="s">
        <v>229</v>
      </c>
      <c r="G83" s="14" t="s">
        <v>191</v>
      </c>
    </row>
    <row r="84" spans="1:7" x14ac:dyDescent="0.25">
      <c r="A84" s="14" t="s">
        <v>0</v>
      </c>
      <c r="B84" s="14">
        <v>32</v>
      </c>
      <c r="C84" s="14" t="s">
        <v>172</v>
      </c>
      <c r="D84" s="14" t="s">
        <v>17</v>
      </c>
      <c r="E84" s="14" t="s">
        <v>135</v>
      </c>
      <c r="F84" s="14" t="s">
        <v>229</v>
      </c>
      <c r="G84" s="14" t="s">
        <v>174</v>
      </c>
    </row>
    <row r="85" spans="1:7" x14ac:dyDescent="0.25">
      <c r="A85" s="14" t="s">
        <v>0</v>
      </c>
      <c r="B85" s="14">
        <v>33</v>
      </c>
      <c r="C85" s="14" t="s">
        <v>172</v>
      </c>
      <c r="D85" s="14" t="s">
        <v>17</v>
      </c>
      <c r="E85" s="14" t="s">
        <v>136</v>
      </c>
      <c r="F85" s="14" t="s">
        <v>229</v>
      </c>
      <c r="G85" s="14" t="s">
        <v>174</v>
      </c>
    </row>
    <row r="86" spans="1:7" x14ac:dyDescent="0.25">
      <c r="A86" s="14" t="s">
        <v>0</v>
      </c>
      <c r="B86" s="14">
        <v>34</v>
      </c>
      <c r="C86" s="14" t="s">
        <v>172</v>
      </c>
      <c r="D86" s="14" t="s">
        <v>17</v>
      </c>
      <c r="E86" s="14" t="s">
        <v>137</v>
      </c>
      <c r="F86" s="14" t="s">
        <v>229</v>
      </c>
      <c r="G86" s="14" t="s">
        <v>174</v>
      </c>
    </row>
    <row r="87" spans="1:7" x14ac:dyDescent="0.25">
      <c r="A87" s="14" t="s">
        <v>0</v>
      </c>
      <c r="B87" s="14">
        <v>35</v>
      </c>
      <c r="C87" s="14" t="s">
        <v>172</v>
      </c>
      <c r="D87" s="14" t="s">
        <v>17</v>
      </c>
      <c r="E87" s="14" t="s">
        <v>138</v>
      </c>
      <c r="F87" s="14" t="s">
        <v>229</v>
      </c>
      <c r="G87" s="14" t="s">
        <v>174</v>
      </c>
    </row>
    <row r="88" spans="1:7" x14ac:dyDescent="0.25">
      <c r="A88" s="14" t="s">
        <v>0</v>
      </c>
      <c r="B88" s="14">
        <v>36</v>
      </c>
      <c r="C88" s="14" t="s">
        <v>172</v>
      </c>
      <c r="D88" s="14" t="s">
        <v>17</v>
      </c>
      <c r="E88" s="14" t="s">
        <v>139</v>
      </c>
      <c r="F88" s="14" t="s">
        <v>229</v>
      </c>
      <c r="G88" s="14" t="s">
        <v>174</v>
      </c>
    </row>
    <row r="89" spans="1:7" x14ac:dyDescent="0.25">
      <c r="A89" t="s">
        <v>0</v>
      </c>
      <c r="B89">
        <v>37</v>
      </c>
      <c r="C89" t="s">
        <v>230</v>
      </c>
      <c r="D89" t="s">
        <v>19</v>
      </c>
      <c r="E89" t="s">
        <v>145</v>
      </c>
      <c r="F89" t="s">
        <v>228</v>
      </c>
    </row>
    <row r="90" spans="1:7" x14ac:dyDescent="0.25">
      <c r="A90" t="s">
        <v>0</v>
      </c>
      <c r="B90">
        <v>38</v>
      </c>
      <c r="C90" t="s">
        <v>230</v>
      </c>
      <c r="D90" t="s">
        <v>19</v>
      </c>
      <c r="E90" t="s">
        <v>146</v>
      </c>
      <c r="F90" t="s">
        <v>228</v>
      </c>
    </row>
    <row r="91" spans="1:7" x14ac:dyDescent="0.25">
      <c r="A91" t="s">
        <v>0</v>
      </c>
      <c r="B91">
        <v>39</v>
      </c>
      <c r="C91" t="s">
        <v>230</v>
      </c>
      <c r="D91" t="s">
        <v>19</v>
      </c>
      <c r="E91" t="s">
        <v>147</v>
      </c>
      <c r="F91" t="s">
        <v>228</v>
      </c>
    </row>
    <row r="92" spans="1:7" x14ac:dyDescent="0.25">
      <c r="A92" t="s">
        <v>0</v>
      </c>
      <c r="B92">
        <v>40</v>
      </c>
      <c r="C92" t="s">
        <v>230</v>
      </c>
      <c r="D92" t="s">
        <v>19</v>
      </c>
      <c r="E92" t="s">
        <v>148</v>
      </c>
      <c r="F92" t="s">
        <v>228</v>
      </c>
    </row>
    <row r="93" spans="1:7" x14ac:dyDescent="0.25">
      <c r="A93" t="s">
        <v>0</v>
      </c>
      <c r="B93">
        <v>41</v>
      </c>
      <c r="C93" t="s">
        <v>232</v>
      </c>
      <c r="D93" t="s">
        <v>18</v>
      </c>
      <c r="E93" t="s">
        <v>140</v>
      </c>
      <c r="F93" t="s">
        <v>228</v>
      </c>
    </row>
    <row r="94" spans="1:7" x14ac:dyDescent="0.25">
      <c r="A94" t="s">
        <v>0</v>
      </c>
      <c r="B94">
        <v>42</v>
      </c>
      <c r="C94" t="s">
        <v>232</v>
      </c>
      <c r="D94" t="s">
        <v>18</v>
      </c>
      <c r="E94" t="s">
        <v>141</v>
      </c>
      <c r="F94" t="s">
        <v>228</v>
      </c>
    </row>
    <row r="95" spans="1:7" x14ac:dyDescent="0.25">
      <c r="A95" t="s">
        <v>0</v>
      </c>
      <c r="B95">
        <v>43</v>
      </c>
      <c r="C95" t="s">
        <v>232</v>
      </c>
      <c r="D95" t="s">
        <v>18</v>
      </c>
      <c r="E95" t="s">
        <v>142</v>
      </c>
      <c r="F95" t="s">
        <v>228</v>
      </c>
    </row>
    <row r="96" spans="1:7" x14ac:dyDescent="0.25">
      <c r="A96" t="s">
        <v>0</v>
      </c>
      <c r="B96">
        <v>44</v>
      </c>
      <c r="C96" t="s">
        <v>232</v>
      </c>
      <c r="D96" t="s">
        <v>18</v>
      </c>
      <c r="E96" t="s">
        <v>143</v>
      </c>
      <c r="F96" t="s">
        <v>228</v>
      </c>
    </row>
    <row r="97" spans="1:6" x14ac:dyDescent="0.25">
      <c r="A97" t="s">
        <v>0</v>
      </c>
      <c r="B97">
        <v>45</v>
      </c>
      <c r="C97" t="s">
        <v>232</v>
      </c>
      <c r="D97" t="s">
        <v>18</v>
      </c>
      <c r="E97" t="s">
        <v>144</v>
      </c>
      <c r="F97" t="s">
        <v>228</v>
      </c>
    </row>
    <row r="98" spans="1:6" x14ac:dyDescent="0.25">
      <c r="A98" t="s">
        <v>0</v>
      </c>
      <c r="B98">
        <v>46</v>
      </c>
      <c r="C98" t="s">
        <v>234</v>
      </c>
      <c r="D98" t="s">
        <v>20</v>
      </c>
      <c r="E98" t="s">
        <v>149</v>
      </c>
      <c r="F98" t="s">
        <v>228</v>
      </c>
    </row>
    <row r="99" spans="1:6" x14ac:dyDescent="0.25">
      <c r="A99" t="s">
        <v>0</v>
      </c>
      <c r="B99">
        <v>47</v>
      </c>
      <c r="C99" t="s">
        <v>234</v>
      </c>
      <c r="D99" t="s">
        <v>20</v>
      </c>
      <c r="E99" t="s">
        <v>150</v>
      </c>
      <c r="F99" t="s">
        <v>228</v>
      </c>
    </row>
    <row r="100" spans="1:6" x14ac:dyDescent="0.25">
      <c r="A100" t="s">
        <v>0</v>
      </c>
      <c r="B100">
        <v>48</v>
      </c>
      <c r="C100" t="s">
        <v>234</v>
      </c>
      <c r="D100" t="s">
        <v>20</v>
      </c>
      <c r="E100" t="s">
        <v>151</v>
      </c>
      <c r="F100" t="s">
        <v>228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C0D1-8554-43A7-A53E-2DF21055EA84}">
  <sheetPr>
    <tabColor theme="9"/>
  </sheetPr>
  <dimension ref="A1:G8"/>
  <sheetViews>
    <sheetView workbookViewId="0">
      <selection activeCell="E21" sqref="E21"/>
    </sheetView>
  </sheetViews>
  <sheetFormatPr defaultRowHeight="15" x14ac:dyDescent="0.25"/>
  <cols>
    <col min="1" max="1" width="17.85546875" bestFit="1" customWidth="1"/>
    <col min="2" max="3" width="35.42578125" bestFit="1" customWidth="1"/>
    <col min="4" max="4" width="62.140625" bestFit="1" customWidth="1"/>
    <col min="5" max="5" width="6.140625" bestFit="1" customWidth="1"/>
    <col min="6" max="6" width="9.7109375" bestFit="1" customWidth="1"/>
    <col min="7" max="7" width="6.5703125" bestFit="1" customWidth="1"/>
  </cols>
  <sheetData>
    <row r="1" spans="1:7" x14ac:dyDescent="0.25">
      <c r="A1" s="12" t="s">
        <v>192</v>
      </c>
      <c r="B1" s="12" t="s">
        <v>193</v>
      </c>
      <c r="C1" s="12" t="s">
        <v>194</v>
      </c>
      <c r="D1" s="12" t="s">
        <v>195</v>
      </c>
      <c r="E1" s="13" t="s">
        <v>196</v>
      </c>
      <c r="F1" s="13" t="s">
        <v>197</v>
      </c>
      <c r="G1" s="13" t="s">
        <v>198</v>
      </c>
    </row>
    <row r="2" spans="1:7" x14ac:dyDescent="0.25">
      <c r="A2" t="s">
        <v>2</v>
      </c>
      <c r="B2" t="s">
        <v>199</v>
      </c>
      <c r="C2" t="s">
        <v>200</v>
      </c>
      <c r="D2" t="s">
        <v>201</v>
      </c>
      <c r="E2" s="3">
        <v>6</v>
      </c>
      <c r="F2" s="3">
        <v>9</v>
      </c>
      <c r="G2" s="3">
        <v>15</v>
      </c>
    </row>
    <row r="3" spans="1:7" x14ac:dyDescent="0.25">
      <c r="A3" t="s">
        <v>5</v>
      </c>
      <c r="B3" t="s">
        <v>202</v>
      </c>
      <c r="C3" t="s">
        <v>203</v>
      </c>
      <c r="D3" t="s">
        <v>204</v>
      </c>
      <c r="E3" s="3">
        <v>5</v>
      </c>
      <c r="F3" s="3">
        <v>9</v>
      </c>
      <c r="G3" s="3">
        <v>14</v>
      </c>
    </row>
    <row r="4" spans="1:7" x14ac:dyDescent="0.25">
      <c r="A4" t="s">
        <v>205</v>
      </c>
      <c r="B4" t="s">
        <v>206</v>
      </c>
      <c r="C4" t="s">
        <v>207</v>
      </c>
      <c r="D4" t="s">
        <v>208</v>
      </c>
      <c r="E4" s="3">
        <v>3</v>
      </c>
      <c r="F4" s="3">
        <v>12</v>
      </c>
      <c r="G4" s="3">
        <v>15</v>
      </c>
    </row>
    <row r="5" spans="1:7" x14ac:dyDescent="0.25">
      <c r="A5" t="s">
        <v>209</v>
      </c>
      <c r="B5" t="s">
        <v>210</v>
      </c>
      <c r="C5" t="s">
        <v>211</v>
      </c>
      <c r="D5" t="s">
        <v>212</v>
      </c>
      <c r="E5" s="3">
        <v>4</v>
      </c>
      <c r="F5" s="3">
        <v>7</v>
      </c>
      <c r="G5" s="3">
        <v>11</v>
      </c>
    </row>
    <row r="6" spans="1:7" x14ac:dyDescent="0.25">
      <c r="A6" t="s">
        <v>11</v>
      </c>
      <c r="B6" t="s">
        <v>213</v>
      </c>
      <c r="C6">
        <v>7</v>
      </c>
      <c r="D6" t="s">
        <v>214</v>
      </c>
      <c r="E6" s="3">
        <v>9</v>
      </c>
      <c r="F6" s="3">
        <v>1</v>
      </c>
      <c r="G6" s="3">
        <v>10</v>
      </c>
    </row>
    <row r="7" spans="1:7" x14ac:dyDescent="0.25">
      <c r="A7" t="s">
        <v>15</v>
      </c>
      <c r="B7" t="s">
        <v>215</v>
      </c>
      <c r="C7" t="s">
        <v>216</v>
      </c>
      <c r="D7" t="s">
        <v>217</v>
      </c>
      <c r="E7" s="3">
        <v>9</v>
      </c>
      <c r="F7" s="3">
        <v>4</v>
      </c>
      <c r="G7" s="3">
        <v>13</v>
      </c>
    </row>
    <row r="8" spans="1:7" x14ac:dyDescent="0.25">
      <c r="A8" t="s">
        <v>0</v>
      </c>
      <c r="B8" t="s">
        <v>207</v>
      </c>
      <c r="C8" t="s">
        <v>218</v>
      </c>
      <c r="D8" t="s">
        <v>219</v>
      </c>
      <c r="E8" s="3">
        <v>12</v>
      </c>
      <c r="F8" s="3">
        <v>9</v>
      </c>
      <c r="G8" s="3">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1776-7405-43D6-BA16-3FF8437FB235}">
  <sheetPr>
    <tabColor theme="9"/>
  </sheetPr>
  <dimension ref="A1:AY35"/>
  <sheetViews>
    <sheetView workbookViewId="0">
      <selection activeCell="I18" sqref="I18"/>
    </sheetView>
  </sheetViews>
  <sheetFormatPr defaultRowHeight="15" x14ac:dyDescent="0.25"/>
  <cols>
    <col min="1" max="1" width="17.85546875" bestFit="1" customWidth="1"/>
    <col min="2" max="2" width="8.85546875" bestFit="1" customWidth="1"/>
    <col min="3" max="50" width="4.5703125" customWidth="1"/>
  </cols>
  <sheetData>
    <row r="1" spans="1:51" x14ac:dyDescent="0.25">
      <c r="A1" s="13"/>
      <c r="B1" s="13" t="s">
        <v>221</v>
      </c>
      <c r="C1" s="13">
        <v>1</v>
      </c>
      <c r="D1" s="13">
        <v>2</v>
      </c>
      <c r="E1" s="13">
        <v>3</v>
      </c>
      <c r="F1" s="13">
        <v>4</v>
      </c>
      <c r="G1" s="13">
        <v>5</v>
      </c>
      <c r="H1" s="13">
        <v>6</v>
      </c>
      <c r="I1" s="13">
        <v>7</v>
      </c>
      <c r="J1" s="13">
        <v>8</v>
      </c>
      <c r="K1" s="13">
        <v>9</v>
      </c>
      <c r="L1" s="13">
        <v>10</v>
      </c>
      <c r="M1" s="13">
        <v>11</v>
      </c>
      <c r="N1" s="13">
        <v>12</v>
      </c>
      <c r="O1" s="13">
        <v>13</v>
      </c>
      <c r="P1" s="13">
        <v>14</v>
      </c>
      <c r="Q1" s="13">
        <v>15</v>
      </c>
      <c r="R1" s="13">
        <v>16</v>
      </c>
      <c r="S1" s="13">
        <v>17</v>
      </c>
      <c r="T1" s="13">
        <v>18</v>
      </c>
      <c r="U1" s="13">
        <v>19</v>
      </c>
      <c r="V1" s="13">
        <v>20</v>
      </c>
      <c r="W1" s="13">
        <v>21</v>
      </c>
      <c r="X1" s="13">
        <v>22</v>
      </c>
      <c r="Y1" s="13">
        <v>23</v>
      </c>
      <c r="Z1" s="13">
        <v>24</v>
      </c>
      <c r="AA1" s="13">
        <v>25</v>
      </c>
      <c r="AB1" s="13">
        <v>26</v>
      </c>
      <c r="AC1" s="13">
        <v>27</v>
      </c>
      <c r="AD1" s="13">
        <v>28</v>
      </c>
      <c r="AE1" s="13">
        <v>29</v>
      </c>
      <c r="AF1" s="13">
        <v>30</v>
      </c>
      <c r="AG1" s="13">
        <v>31</v>
      </c>
      <c r="AH1" s="13">
        <v>32</v>
      </c>
      <c r="AI1" s="13">
        <v>33</v>
      </c>
      <c r="AJ1" s="13">
        <v>34</v>
      </c>
      <c r="AK1" s="13">
        <v>35</v>
      </c>
      <c r="AL1" s="13">
        <v>36</v>
      </c>
      <c r="AM1" s="13">
        <v>37</v>
      </c>
      <c r="AN1" s="13">
        <v>38</v>
      </c>
      <c r="AO1" s="13">
        <v>39</v>
      </c>
      <c r="AP1" s="13">
        <v>40</v>
      </c>
      <c r="AQ1" s="13">
        <v>41</v>
      </c>
      <c r="AR1" s="13">
        <v>42</v>
      </c>
      <c r="AS1" s="13">
        <v>43</v>
      </c>
      <c r="AT1" s="13">
        <v>44</v>
      </c>
      <c r="AU1" s="13">
        <v>45</v>
      </c>
      <c r="AV1" s="13">
        <v>46</v>
      </c>
      <c r="AW1" s="13">
        <v>47</v>
      </c>
      <c r="AX1" s="13">
        <v>48</v>
      </c>
    </row>
    <row r="2" spans="1:51" x14ac:dyDescent="0.25">
      <c r="A2" s="15"/>
      <c r="B2" s="15" t="s">
        <v>244</v>
      </c>
      <c r="C2" s="15" t="s">
        <v>227</v>
      </c>
      <c r="D2" s="15" t="s">
        <v>227</v>
      </c>
      <c r="E2" s="15" t="s">
        <v>227</v>
      </c>
      <c r="F2" s="15" t="s">
        <v>177</v>
      </c>
      <c r="G2" s="15" t="s">
        <v>177</v>
      </c>
      <c r="H2" s="15" t="s">
        <v>177</v>
      </c>
      <c r="I2" s="15" t="s">
        <v>183</v>
      </c>
      <c r="J2" s="15" t="s">
        <v>173</v>
      </c>
      <c r="K2" s="15" t="s">
        <v>173</v>
      </c>
      <c r="L2" s="15" t="s">
        <v>173</v>
      </c>
      <c r="M2" s="15" t="s">
        <v>173</v>
      </c>
      <c r="N2" s="15" t="s">
        <v>186</v>
      </c>
      <c r="O2" s="15" t="s">
        <v>186</v>
      </c>
      <c r="P2" s="15" t="s">
        <v>186</v>
      </c>
      <c r="Q2" s="15" t="s">
        <v>236</v>
      </c>
      <c r="R2" s="15" t="s">
        <v>236</v>
      </c>
      <c r="S2" s="15" t="s">
        <v>237</v>
      </c>
      <c r="T2" s="15" t="s">
        <v>237</v>
      </c>
      <c r="U2" s="15" t="s">
        <v>238</v>
      </c>
      <c r="V2" s="15" t="s">
        <v>238</v>
      </c>
      <c r="W2" s="15" t="s">
        <v>238</v>
      </c>
      <c r="X2" s="15" t="s">
        <v>153</v>
      </c>
      <c r="Y2" s="15" t="s">
        <v>153</v>
      </c>
      <c r="Z2" s="15" t="s">
        <v>176</v>
      </c>
      <c r="AA2" s="15" t="s">
        <v>176</v>
      </c>
      <c r="AB2" s="15" t="s">
        <v>240</v>
      </c>
      <c r="AC2" s="15" t="s">
        <v>185</v>
      </c>
      <c r="AD2" s="15" t="s">
        <v>242</v>
      </c>
      <c r="AE2" s="15" t="s">
        <v>242</v>
      </c>
      <c r="AF2" s="15" t="s">
        <v>242</v>
      </c>
      <c r="AG2" s="15" t="s">
        <v>242</v>
      </c>
      <c r="AH2" s="15" t="s">
        <v>172</v>
      </c>
      <c r="AI2" s="15" t="s">
        <v>172</v>
      </c>
      <c r="AJ2" s="15" t="s">
        <v>172</v>
      </c>
      <c r="AK2" s="15" t="s">
        <v>172</v>
      </c>
      <c r="AL2" s="15" t="s">
        <v>172</v>
      </c>
      <c r="AM2" s="15" t="s">
        <v>230</v>
      </c>
      <c r="AN2" s="15" t="s">
        <v>230</v>
      </c>
      <c r="AO2" s="15" t="s">
        <v>230</v>
      </c>
      <c r="AP2" s="15" t="s">
        <v>230</v>
      </c>
      <c r="AQ2" s="15" t="s">
        <v>232</v>
      </c>
      <c r="AR2" s="15" t="s">
        <v>232</v>
      </c>
      <c r="AS2" s="15" t="s">
        <v>232</v>
      </c>
      <c r="AT2" s="15" t="s">
        <v>232</v>
      </c>
      <c r="AU2" s="15" t="s">
        <v>232</v>
      </c>
      <c r="AV2" s="15" t="s">
        <v>234</v>
      </c>
      <c r="AW2" s="15" t="s">
        <v>234</v>
      </c>
      <c r="AX2" s="15" t="s">
        <v>234</v>
      </c>
    </row>
    <row r="3" spans="1:51" x14ac:dyDescent="0.25">
      <c r="A3" s="15"/>
      <c r="B3" s="15" t="s">
        <v>25</v>
      </c>
      <c r="C3" s="15" t="s">
        <v>3</v>
      </c>
      <c r="D3" s="15" t="s">
        <v>3</v>
      </c>
      <c r="E3" s="15" t="s">
        <v>3</v>
      </c>
      <c r="F3" s="15" t="s">
        <v>4</v>
      </c>
      <c r="G3" s="15" t="s">
        <v>4</v>
      </c>
      <c r="H3" s="15" t="s">
        <v>4</v>
      </c>
      <c r="I3" s="15" t="s">
        <v>6</v>
      </c>
      <c r="J3" s="15" t="s">
        <v>7</v>
      </c>
      <c r="K3" s="15" t="s">
        <v>7</v>
      </c>
      <c r="L3" s="15" t="s">
        <v>7</v>
      </c>
      <c r="M3" s="15" t="s">
        <v>7</v>
      </c>
      <c r="N3" s="15" t="s">
        <v>10</v>
      </c>
      <c r="O3" s="15" t="s">
        <v>10</v>
      </c>
      <c r="P3" s="15" t="s">
        <v>10</v>
      </c>
      <c r="Q3" s="15" t="s">
        <v>8</v>
      </c>
      <c r="R3" s="15" t="s">
        <v>8</v>
      </c>
      <c r="S3" s="15" t="s">
        <v>9</v>
      </c>
      <c r="T3" s="15" t="s">
        <v>9</v>
      </c>
      <c r="U3" s="15" t="s">
        <v>12</v>
      </c>
      <c r="V3" s="15" t="s">
        <v>12</v>
      </c>
      <c r="W3" s="15" t="s">
        <v>12</v>
      </c>
      <c r="X3" s="15" t="s">
        <v>13</v>
      </c>
      <c r="Y3" s="15" t="s">
        <v>13</v>
      </c>
      <c r="Z3" s="15" t="s">
        <v>14</v>
      </c>
      <c r="AA3" s="15" t="s">
        <v>14</v>
      </c>
      <c r="AB3" s="15" t="s">
        <v>241</v>
      </c>
      <c r="AC3" s="15" t="s">
        <v>241</v>
      </c>
      <c r="AD3" s="15" t="s">
        <v>16</v>
      </c>
      <c r="AE3" s="15" t="s">
        <v>16</v>
      </c>
      <c r="AF3" s="15" t="s">
        <v>16</v>
      </c>
      <c r="AG3" s="15" t="s">
        <v>16</v>
      </c>
      <c r="AH3" s="15" t="s">
        <v>17</v>
      </c>
      <c r="AI3" s="15" t="s">
        <v>17</v>
      </c>
      <c r="AJ3" s="15" t="s">
        <v>17</v>
      </c>
      <c r="AK3" s="15" t="s">
        <v>17</v>
      </c>
      <c r="AL3" s="15" t="s">
        <v>17</v>
      </c>
      <c r="AM3" s="15" t="s">
        <v>19</v>
      </c>
      <c r="AN3" s="15" t="s">
        <v>19</v>
      </c>
      <c r="AO3" s="15" t="s">
        <v>19</v>
      </c>
      <c r="AP3" s="15" t="s">
        <v>19</v>
      </c>
      <c r="AQ3" s="15" t="s">
        <v>18</v>
      </c>
      <c r="AR3" s="15" t="s">
        <v>18</v>
      </c>
      <c r="AS3" s="15" t="s">
        <v>18</v>
      </c>
      <c r="AT3" s="15" t="s">
        <v>18</v>
      </c>
      <c r="AU3" s="15" t="s">
        <v>18</v>
      </c>
      <c r="AV3" s="15" t="s">
        <v>20</v>
      </c>
      <c r="AW3" s="15" t="s">
        <v>20</v>
      </c>
      <c r="AX3" s="15" t="s">
        <v>20</v>
      </c>
    </row>
    <row r="4" spans="1:51" x14ac:dyDescent="0.25">
      <c r="A4" s="16" t="s">
        <v>2</v>
      </c>
      <c r="C4">
        <v>1</v>
      </c>
      <c r="D4">
        <v>1</v>
      </c>
      <c r="E4">
        <v>1</v>
      </c>
      <c r="F4">
        <v>1</v>
      </c>
      <c r="G4">
        <v>1</v>
      </c>
      <c r="H4">
        <v>1</v>
      </c>
      <c r="J4">
        <v>1</v>
      </c>
      <c r="K4">
        <v>1</v>
      </c>
      <c r="L4">
        <v>1</v>
      </c>
      <c r="M4">
        <v>1</v>
      </c>
      <c r="AH4">
        <v>1</v>
      </c>
      <c r="AI4">
        <v>1</v>
      </c>
      <c r="AJ4">
        <v>1</v>
      </c>
      <c r="AK4">
        <v>1</v>
      </c>
      <c r="AL4">
        <v>1</v>
      </c>
    </row>
    <row r="5" spans="1:51" x14ac:dyDescent="0.25">
      <c r="A5" s="16" t="s">
        <v>5</v>
      </c>
      <c r="F5">
        <v>1</v>
      </c>
      <c r="G5">
        <v>1</v>
      </c>
      <c r="H5">
        <v>1</v>
      </c>
      <c r="I5">
        <v>1</v>
      </c>
      <c r="J5">
        <v>1</v>
      </c>
      <c r="K5">
        <v>1</v>
      </c>
      <c r="L5">
        <v>1</v>
      </c>
      <c r="M5">
        <v>1</v>
      </c>
      <c r="Z5">
        <v>1</v>
      </c>
      <c r="AA5">
        <v>1</v>
      </c>
      <c r="AM5">
        <v>1</v>
      </c>
      <c r="AN5">
        <v>1</v>
      </c>
      <c r="AO5">
        <v>1</v>
      </c>
      <c r="AP5">
        <v>1</v>
      </c>
    </row>
    <row r="6" spans="1:51" x14ac:dyDescent="0.25">
      <c r="A6" s="16" t="s">
        <v>205</v>
      </c>
      <c r="N6">
        <v>1</v>
      </c>
      <c r="O6">
        <v>1</v>
      </c>
      <c r="P6">
        <v>1</v>
      </c>
      <c r="AM6">
        <v>1</v>
      </c>
      <c r="AN6">
        <v>1</v>
      </c>
      <c r="AO6">
        <v>1</v>
      </c>
      <c r="AP6">
        <v>1</v>
      </c>
      <c r="AQ6">
        <v>1</v>
      </c>
      <c r="AR6">
        <v>1</v>
      </c>
      <c r="AS6">
        <v>1</v>
      </c>
      <c r="AT6">
        <v>1</v>
      </c>
      <c r="AU6">
        <v>1</v>
      </c>
      <c r="AV6">
        <v>1</v>
      </c>
      <c r="AW6">
        <v>1</v>
      </c>
      <c r="AX6">
        <v>1</v>
      </c>
    </row>
    <row r="7" spans="1:51" x14ac:dyDescent="0.25">
      <c r="A7" s="16" t="s">
        <v>209</v>
      </c>
      <c r="Q7">
        <v>1</v>
      </c>
      <c r="R7">
        <v>1</v>
      </c>
      <c r="S7">
        <v>1</v>
      </c>
      <c r="T7">
        <v>1</v>
      </c>
      <c r="U7">
        <v>1</v>
      </c>
      <c r="V7">
        <v>1</v>
      </c>
      <c r="W7">
        <v>1</v>
      </c>
      <c r="X7">
        <v>1</v>
      </c>
      <c r="Y7">
        <v>1</v>
      </c>
      <c r="Z7">
        <v>1</v>
      </c>
      <c r="AA7">
        <v>1</v>
      </c>
    </row>
    <row r="8" spans="1:51" x14ac:dyDescent="0.25">
      <c r="A8" s="16" t="s">
        <v>11</v>
      </c>
      <c r="I8">
        <v>1</v>
      </c>
      <c r="U8">
        <v>1</v>
      </c>
      <c r="V8">
        <v>1</v>
      </c>
      <c r="W8">
        <v>1</v>
      </c>
      <c r="X8">
        <v>1</v>
      </c>
      <c r="Y8">
        <v>1</v>
      </c>
      <c r="Z8">
        <v>1</v>
      </c>
      <c r="AA8">
        <v>1</v>
      </c>
      <c r="AB8">
        <v>1</v>
      </c>
      <c r="AC8">
        <v>1</v>
      </c>
    </row>
    <row r="9" spans="1:51" x14ac:dyDescent="0.25">
      <c r="A9" s="16" t="s">
        <v>15</v>
      </c>
      <c r="AD9">
        <v>1</v>
      </c>
      <c r="AE9">
        <v>1</v>
      </c>
      <c r="AF9">
        <v>1</v>
      </c>
      <c r="AG9">
        <v>1</v>
      </c>
      <c r="AH9">
        <v>1</v>
      </c>
      <c r="AI9">
        <v>1</v>
      </c>
      <c r="AJ9">
        <v>1</v>
      </c>
      <c r="AK9">
        <v>1</v>
      </c>
      <c r="AL9">
        <v>1</v>
      </c>
      <c r="AM9">
        <v>1</v>
      </c>
      <c r="AN9">
        <v>1</v>
      </c>
      <c r="AO9">
        <v>1</v>
      </c>
      <c r="AP9">
        <v>1</v>
      </c>
    </row>
    <row r="10" spans="1:51" x14ac:dyDescent="0.25">
      <c r="A10" s="16" t="s">
        <v>0</v>
      </c>
      <c r="N10">
        <v>1</v>
      </c>
      <c r="O10">
        <v>1</v>
      </c>
      <c r="P10">
        <v>1</v>
      </c>
      <c r="AC10">
        <v>1</v>
      </c>
      <c r="AH10">
        <v>1</v>
      </c>
      <c r="AI10">
        <v>1</v>
      </c>
      <c r="AJ10">
        <v>1</v>
      </c>
      <c r="AK10">
        <v>1</v>
      </c>
      <c r="AL10">
        <v>1</v>
      </c>
      <c r="AM10">
        <v>1</v>
      </c>
      <c r="AN10">
        <v>1</v>
      </c>
      <c r="AO10">
        <v>1</v>
      </c>
      <c r="AP10">
        <v>1</v>
      </c>
      <c r="AQ10">
        <v>1</v>
      </c>
      <c r="AR10">
        <v>1</v>
      </c>
      <c r="AS10">
        <v>1</v>
      </c>
      <c r="AT10">
        <v>1</v>
      </c>
      <c r="AU10">
        <v>1</v>
      </c>
      <c r="AV10">
        <v>1</v>
      </c>
      <c r="AW10">
        <v>1</v>
      </c>
      <c r="AX10">
        <v>1</v>
      </c>
    </row>
    <row r="11" spans="1:51" x14ac:dyDescent="0.25">
      <c r="AY11" s="16" t="s">
        <v>245</v>
      </c>
    </row>
    <row r="12" spans="1:51" x14ac:dyDescent="0.25">
      <c r="A12" s="16" t="s">
        <v>2</v>
      </c>
      <c r="B12" t="s">
        <v>246</v>
      </c>
      <c r="C12">
        <v>30</v>
      </c>
      <c r="D12">
        <v>30</v>
      </c>
      <c r="E12">
        <v>30</v>
      </c>
      <c r="F12">
        <v>30</v>
      </c>
      <c r="G12">
        <v>30</v>
      </c>
      <c r="H12">
        <v>30</v>
      </c>
      <c r="J12">
        <v>30</v>
      </c>
      <c r="K12">
        <v>30</v>
      </c>
      <c r="L12">
        <v>30</v>
      </c>
      <c r="M12">
        <v>30</v>
      </c>
      <c r="AH12">
        <v>30</v>
      </c>
      <c r="AI12">
        <v>30</v>
      </c>
      <c r="AJ12">
        <v>30</v>
      </c>
      <c r="AK12">
        <v>30</v>
      </c>
      <c r="AL12">
        <v>30</v>
      </c>
      <c r="AY12">
        <f t="shared" ref="AY12:AY18" si="0">SUM(C12:AX12)</f>
        <v>450</v>
      </c>
    </row>
    <row r="13" spans="1:51" x14ac:dyDescent="0.25">
      <c r="A13" s="16" t="s">
        <v>5</v>
      </c>
      <c r="B13" t="s">
        <v>246</v>
      </c>
      <c r="F13">
        <v>15</v>
      </c>
      <c r="G13">
        <v>15</v>
      </c>
      <c r="H13">
        <v>15</v>
      </c>
      <c r="I13">
        <v>15</v>
      </c>
      <c r="J13">
        <v>15</v>
      </c>
      <c r="K13">
        <v>15</v>
      </c>
      <c r="L13">
        <v>15</v>
      </c>
      <c r="M13">
        <v>15</v>
      </c>
      <c r="Z13">
        <v>15</v>
      </c>
      <c r="AA13">
        <v>15</v>
      </c>
      <c r="AM13">
        <v>15</v>
      </c>
      <c r="AN13">
        <v>15</v>
      </c>
      <c r="AO13">
        <v>15</v>
      </c>
      <c r="AP13">
        <v>15</v>
      </c>
      <c r="AY13">
        <f t="shared" si="0"/>
        <v>210</v>
      </c>
    </row>
    <row r="14" spans="1:51" x14ac:dyDescent="0.25">
      <c r="A14" s="16" t="s">
        <v>205</v>
      </c>
      <c r="B14" t="s">
        <v>246</v>
      </c>
      <c r="N14">
        <v>15</v>
      </c>
      <c r="O14">
        <v>15</v>
      </c>
      <c r="P14">
        <v>15</v>
      </c>
      <c r="AM14">
        <v>15</v>
      </c>
      <c r="AN14">
        <v>15</v>
      </c>
      <c r="AO14">
        <v>15</v>
      </c>
      <c r="AP14">
        <v>15</v>
      </c>
      <c r="AQ14">
        <v>15</v>
      </c>
      <c r="AR14">
        <v>15</v>
      </c>
      <c r="AS14">
        <v>15</v>
      </c>
      <c r="AT14">
        <v>15</v>
      </c>
      <c r="AU14">
        <v>15</v>
      </c>
      <c r="AV14">
        <v>15</v>
      </c>
      <c r="AW14">
        <v>15</v>
      </c>
      <c r="AX14">
        <v>15</v>
      </c>
      <c r="AY14">
        <f t="shared" si="0"/>
        <v>225</v>
      </c>
    </row>
    <row r="15" spans="1:51" x14ac:dyDescent="0.25">
      <c r="A15" s="16" t="s">
        <v>209</v>
      </c>
      <c r="B15" t="s">
        <v>246</v>
      </c>
      <c r="Q15">
        <v>30</v>
      </c>
      <c r="R15">
        <v>30</v>
      </c>
      <c r="S15">
        <v>30</v>
      </c>
      <c r="T15">
        <v>30</v>
      </c>
      <c r="U15">
        <v>30</v>
      </c>
      <c r="V15">
        <v>30</v>
      </c>
      <c r="W15">
        <v>30</v>
      </c>
      <c r="X15">
        <v>30</v>
      </c>
      <c r="Y15">
        <v>30</v>
      </c>
      <c r="Z15">
        <v>30</v>
      </c>
      <c r="AA15">
        <v>30</v>
      </c>
      <c r="AY15">
        <f t="shared" si="0"/>
        <v>330</v>
      </c>
    </row>
    <row r="16" spans="1:51" x14ac:dyDescent="0.25">
      <c r="A16" s="16" t="s">
        <v>11</v>
      </c>
      <c r="B16" t="s">
        <v>246</v>
      </c>
      <c r="I16">
        <v>15</v>
      </c>
      <c r="U16">
        <v>15</v>
      </c>
      <c r="V16">
        <v>15</v>
      </c>
      <c r="W16">
        <v>15</v>
      </c>
      <c r="X16">
        <v>15</v>
      </c>
      <c r="Y16">
        <v>15</v>
      </c>
      <c r="Z16">
        <v>15</v>
      </c>
      <c r="AA16">
        <v>15</v>
      </c>
      <c r="AB16">
        <v>15</v>
      </c>
      <c r="AC16">
        <v>15</v>
      </c>
      <c r="AY16">
        <f t="shared" si="0"/>
        <v>150</v>
      </c>
    </row>
    <row r="17" spans="1:51" x14ac:dyDescent="0.25">
      <c r="A17" s="16" t="s">
        <v>15</v>
      </c>
      <c r="B17" t="s">
        <v>246</v>
      </c>
      <c r="AD17">
        <v>30</v>
      </c>
      <c r="AE17">
        <v>30</v>
      </c>
      <c r="AF17">
        <v>30</v>
      </c>
      <c r="AG17">
        <v>30</v>
      </c>
      <c r="AH17">
        <v>30</v>
      </c>
      <c r="AI17">
        <v>30</v>
      </c>
      <c r="AJ17">
        <v>30</v>
      </c>
      <c r="AK17">
        <v>30</v>
      </c>
      <c r="AL17">
        <v>30</v>
      </c>
      <c r="AM17">
        <v>30</v>
      </c>
      <c r="AN17">
        <v>30</v>
      </c>
      <c r="AO17">
        <v>30</v>
      </c>
      <c r="AP17">
        <v>30</v>
      </c>
      <c r="AY17">
        <f t="shared" si="0"/>
        <v>390</v>
      </c>
    </row>
    <row r="18" spans="1:51" x14ac:dyDescent="0.25">
      <c r="A18" s="16" t="s">
        <v>0</v>
      </c>
      <c r="B18" t="s">
        <v>246</v>
      </c>
      <c r="N18">
        <v>30</v>
      </c>
      <c r="O18">
        <v>30</v>
      </c>
      <c r="P18">
        <v>30</v>
      </c>
      <c r="AC18">
        <v>30</v>
      </c>
      <c r="AH18">
        <v>30</v>
      </c>
      <c r="AI18">
        <v>30</v>
      </c>
      <c r="AJ18">
        <v>30</v>
      </c>
      <c r="AK18">
        <v>30</v>
      </c>
      <c r="AL18">
        <v>30</v>
      </c>
      <c r="AM18">
        <v>30</v>
      </c>
      <c r="AN18">
        <v>30</v>
      </c>
      <c r="AO18">
        <v>30</v>
      </c>
      <c r="AP18">
        <v>30</v>
      </c>
      <c r="AQ18">
        <v>30</v>
      </c>
      <c r="AR18">
        <v>30</v>
      </c>
      <c r="AS18">
        <v>30</v>
      </c>
      <c r="AT18">
        <v>30</v>
      </c>
      <c r="AU18">
        <v>30</v>
      </c>
      <c r="AV18">
        <v>30</v>
      </c>
      <c r="AW18">
        <v>30</v>
      </c>
      <c r="AX18">
        <v>30</v>
      </c>
      <c r="AY18">
        <f t="shared" si="0"/>
        <v>630</v>
      </c>
    </row>
    <row r="20" spans="1:51" x14ac:dyDescent="0.25">
      <c r="A20" s="17" t="s">
        <v>247</v>
      </c>
      <c r="B20" s="17"/>
      <c r="C20" s="17">
        <f t="shared" ref="C20:AX20" si="1">SUM(C12:C18)</f>
        <v>30</v>
      </c>
      <c r="D20" s="17">
        <f t="shared" si="1"/>
        <v>30</v>
      </c>
      <c r="E20" s="17">
        <f t="shared" si="1"/>
        <v>30</v>
      </c>
      <c r="F20" s="17">
        <f t="shared" si="1"/>
        <v>45</v>
      </c>
      <c r="G20" s="17">
        <f t="shared" si="1"/>
        <v>45</v>
      </c>
      <c r="H20" s="17">
        <f t="shared" si="1"/>
        <v>45</v>
      </c>
      <c r="I20" s="17">
        <f t="shared" si="1"/>
        <v>30</v>
      </c>
      <c r="J20" s="17">
        <f t="shared" si="1"/>
        <v>45</v>
      </c>
      <c r="K20" s="17">
        <f t="shared" si="1"/>
        <v>45</v>
      </c>
      <c r="L20" s="17">
        <f t="shared" si="1"/>
        <v>45</v>
      </c>
      <c r="M20" s="17">
        <f t="shared" si="1"/>
        <v>45</v>
      </c>
      <c r="N20" s="17">
        <f t="shared" si="1"/>
        <v>45</v>
      </c>
      <c r="O20" s="17">
        <f t="shared" si="1"/>
        <v>45</v>
      </c>
      <c r="P20" s="17">
        <f t="shared" si="1"/>
        <v>45</v>
      </c>
      <c r="Q20" s="17">
        <f t="shared" si="1"/>
        <v>30</v>
      </c>
      <c r="R20" s="17">
        <f t="shared" si="1"/>
        <v>30</v>
      </c>
      <c r="S20" s="17">
        <f t="shared" si="1"/>
        <v>30</v>
      </c>
      <c r="T20" s="17">
        <f t="shared" si="1"/>
        <v>30</v>
      </c>
      <c r="U20" s="17">
        <f t="shared" si="1"/>
        <v>45</v>
      </c>
      <c r="V20" s="17">
        <f t="shared" si="1"/>
        <v>45</v>
      </c>
      <c r="W20" s="17">
        <f t="shared" si="1"/>
        <v>45</v>
      </c>
      <c r="X20" s="17">
        <f t="shared" si="1"/>
        <v>45</v>
      </c>
      <c r="Y20" s="17">
        <f t="shared" si="1"/>
        <v>45</v>
      </c>
      <c r="Z20" s="17">
        <f t="shared" si="1"/>
        <v>60</v>
      </c>
      <c r="AA20" s="17">
        <f t="shared" si="1"/>
        <v>60</v>
      </c>
      <c r="AB20" s="17">
        <f t="shared" si="1"/>
        <v>15</v>
      </c>
      <c r="AC20" s="17">
        <f t="shared" si="1"/>
        <v>45</v>
      </c>
      <c r="AD20" s="17">
        <f t="shared" si="1"/>
        <v>30</v>
      </c>
      <c r="AE20" s="17">
        <f t="shared" si="1"/>
        <v>30</v>
      </c>
      <c r="AF20" s="17">
        <f t="shared" si="1"/>
        <v>30</v>
      </c>
      <c r="AG20" s="17">
        <f t="shared" si="1"/>
        <v>30</v>
      </c>
      <c r="AH20" s="17">
        <f t="shared" si="1"/>
        <v>90</v>
      </c>
      <c r="AI20" s="17">
        <f t="shared" si="1"/>
        <v>90</v>
      </c>
      <c r="AJ20" s="17">
        <f t="shared" si="1"/>
        <v>90</v>
      </c>
      <c r="AK20" s="17">
        <f t="shared" si="1"/>
        <v>90</v>
      </c>
      <c r="AL20" s="17">
        <f t="shared" si="1"/>
        <v>90</v>
      </c>
      <c r="AM20" s="17">
        <f t="shared" si="1"/>
        <v>90</v>
      </c>
      <c r="AN20" s="17">
        <f t="shared" si="1"/>
        <v>90</v>
      </c>
      <c r="AO20" s="17">
        <f t="shared" si="1"/>
        <v>90</v>
      </c>
      <c r="AP20" s="17">
        <f t="shared" si="1"/>
        <v>90</v>
      </c>
      <c r="AQ20" s="17">
        <f t="shared" si="1"/>
        <v>45</v>
      </c>
      <c r="AR20" s="17">
        <f t="shared" si="1"/>
        <v>45</v>
      </c>
      <c r="AS20" s="17">
        <f t="shared" si="1"/>
        <v>45</v>
      </c>
      <c r="AT20" s="17">
        <f t="shared" si="1"/>
        <v>45</v>
      </c>
      <c r="AU20" s="17">
        <f t="shared" si="1"/>
        <v>45</v>
      </c>
      <c r="AV20" s="17">
        <f t="shared" si="1"/>
        <v>45</v>
      </c>
      <c r="AW20" s="17">
        <f t="shared" si="1"/>
        <v>45</v>
      </c>
      <c r="AX20" s="17">
        <f t="shared" si="1"/>
        <v>45</v>
      </c>
    </row>
    <row r="21" spans="1:51" x14ac:dyDescent="0.25">
      <c r="A21" s="16" t="s">
        <v>248</v>
      </c>
      <c r="C21">
        <f>MIN(C20:AX20)</f>
        <v>15</v>
      </c>
    </row>
    <row r="22" spans="1:51" x14ac:dyDescent="0.25">
      <c r="A22" s="16" t="s">
        <v>249</v>
      </c>
      <c r="C22">
        <f>MAX(C20:AX20)</f>
        <v>90</v>
      </c>
    </row>
    <row r="23" spans="1:51" x14ac:dyDescent="0.25">
      <c r="A23" s="16" t="s">
        <v>250</v>
      </c>
      <c r="C23">
        <f>C22-C21</f>
        <v>75</v>
      </c>
    </row>
    <row r="24" spans="1:51" x14ac:dyDescent="0.25">
      <c r="A24" s="16" t="s">
        <v>251</v>
      </c>
      <c r="C24">
        <f>SUM(C20:AX20)</f>
        <v>2385</v>
      </c>
    </row>
    <row r="26" spans="1:51" ht="15.75" x14ac:dyDescent="0.25">
      <c r="A26" s="18" t="s">
        <v>252</v>
      </c>
    </row>
    <row r="27" spans="1:51" x14ac:dyDescent="0.25">
      <c r="A27" s="12" t="s">
        <v>220</v>
      </c>
      <c r="B27" s="12" t="s">
        <v>253</v>
      </c>
      <c r="C27" s="12" t="s">
        <v>254</v>
      </c>
      <c r="D27" s="12" t="s">
        <v>255</v>
      </c>
    </row>
    <row r="28" spans="1:51" x14ac:dyDescent="0.25">
      <c r="A28" t="s">
        <v>2</v>
      </c>
      <c r="B28">
        <v>30</v>
      </c>
      <c r="C28">
        <v>15</v>
      </c>
      <c r="D28">
        <v>0</v>
      </c>
    </row>
    <row r="29" spans="1:51" x14ac:dyDescent="0.25">
      <c r="A29" t="s">
        <v>5</v>
      </c>
      <c r="B29">
        <v>15</v>
      </c>
      <c r="C29">
        <v>15</v>
      </c>
      <c r="D29">
        <v>0</v>
      </c>
    </row>
    <row r="30" spans="1:51" x14ac:dyDescent="0.25">
      <c r="A30" t="s">
        <v>205</v>
      </c>
      <c r="B30">
        <v>15</v>
      </c>
      <c r="C30">
        <v>15</v>
      </c>
      <c r="D30">
        <v>0</v>
      </c>
    </row>
    <row r="31" spans="1:51" x14ac:dyDescent="0.25">
      <c r="A31" t="s">
        <v>209</v>
      </c>
      <c r="B31">
        <v>30</v>
      </c>
      <c r="C31">
        <v>15</v>
      </c>
      <c r="D31">
        <v>0</v>
      </c>
    </row>
    <row r="32" spans="1:51" x14ac:dyDescent="0.25">
      <c r="A32" t="s">
        <v>11</v>
      </c>
      <c r="B32">
        <v>15</v>
      </c>
      <c r="C32">
        <v>15</v>
      </c>
      <c r="D32">
        <v>0</v>
      </c>
    </row>
    <row r="33" spans="1:4" x14ac:dyDescent="0.25">
      <c r="A33" t="s">
        <v>15</v>
      </c>
      <c r="B33">
        <v>30</v>
      </c>
      <c r="C33">
        <v>15</v>
      </c>
      <c r="D33">
        <v>0</v>
      </c>
    </row>
    <row r="34" spans="1:4" x14ac:dyDescent="0.25">
      <c r="A34" t="s">
        <v>0</v>
      </c>
      <c r="B34">
        <v>30</v>
      </c>
      <c r="C34">
        <v>15</v>
      </c>
      <c r="D34">
        <v>0</v>
      </c>
    </row>
    <row r="35" spans="1:4" x14ac:dyDescent="0.25">
      <c r="A35" s="16" t="s">
        <v>247</v>
      </c>
      <c r="B35">
        <f>SUM(B28:B34)</f>
        <v>165</v>
      </c>
      <c r="C35">
        <f>SUM(C28:C34)</f>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a1cd53a-e536-4dbf-81ec-f4f80085d1ed" xsi:nil="true"/>
    <lcf76f155ced4ddcb4097134ff3c332f xmlns="faa73d45-d374-4fb2-a41c-b56eff2aa3e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2D3187297FC04794271D856235D6E6" ma:contentTypeVersion="13" ma:contentTypeDescription="Create a new document." ma:contentTypeScope="" ma:versionID="775f3aaef9f7a85280ea27f3ddce4510">
  <xsd:schema xmlns:xsd="http://www.w3.org/2001/XMLSchema" xmlns:xs="http://www.w3.org/2001/XMLSchema" xmlns:p="http://schemas.microsoft.com/office/2006/metadata/properties" xmlns:ns2="faa73d45-d374-4fb2-a41c-b56eff2aa3ea" xmlns:ns3="6a1cd53a-e536-4dbf-81ec-f4f80085d1ed" targetNamespace="http://schemas.microsoft.com/office/2006/metadata/properties" ma:root="true" ma:fieldsID="52fb04910b66815b717f2956aa364fc4" ns2:_="" ns3:_="">
    <xsd:import namespace="faa73d45-d374-4fb2-a41c-b56eff2aa3ea"/>
    <xsd:import namespace="6a1cd53a-e536-4dbf-81ec-f4f80085d1e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a73d45-d374-4fb2-a41c-b56eff2aa3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1cd53a-e536-4dbf-81ec-f4f80085d1e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a1cfc105-29ba-435b-b13c-ef0413070afd}" ma:internalName="TaxCatchAll" ma:showField="CatchAllData" ma:web="6a1cd53a-e536-4dbf-81ec-f4f80085d1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6EC4A7-4B16-4DAF-8F5E-12AA61726906}">
  <ds:schemaRefs>
    <ds:schemaRef ds:uri="http://purl.org/dc/elements/1.1/"/>
    <ds:schemaRef ds:uri="http://schemas.microsoft.com/office/2006/metadata/properties"/>
    <ds:schemaRef ds:uri="http://schemas.microsoft.com/office/2006/documentManagement/types"/>
    <ds:schemaRef ds:uri="http://purl.org/dc/dcmitype/"/>
    <ds:schemaRef ds:uri="http://purl.org/dc/terms/"/>
    <ds:schemaRef ds:uri="faa73d45-d374-4fb2-a41c-b56eff2aa3ea"/>
    <ds:schemaRef ds:uri="http://schemas.microsoft.com/office/infopath/2007/PartnerControls"/>
    <ds:schemaRef ds:uri="http://schemas.openxmlformats.org/package/2006/metadata/core-properties"/>
    <ds:schemaRef ds:uri="6a1cd53a-e536-4dbf-81ec-f4f80085d1ed"/>
    <ds:schemaRef ds:uri="http://www.w3.org/XML/1998/namespace"/>
  </ds:schemaRefs>
</ds:datastoreItem>
</file>

<file path=customXml/itemProps2.xml><?xml version="1.0" encoding="utf-8"?>
<ds:datastoreItem xmlns:ds="http://schemas.openxmlformats.org/officeDocument/2006/customXml" ds:itemID="{356293E9-A38C-4001-8778-9C37FCAB2F37}">
  <ds:schemaRefs>
    <ds:schemaRef ds:uri="http://schemas.microsoft.com/sharepoint/v3/contenttype/forms"/>
  </ds:schemaRefs>
</ds:datastoreItem>
</file>

<file path=customXml/itemProps3.xml><?xml version="1.0" encoding="utf-8"?>
<ds:datastoreItem xmlns:ds="http://schemas.openxmlformats.org/officeDocument/2006/customXml" ds:itemID="{6331D6CD-D7B5-4BF9-ABFD-908174CA68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a73d45-d374-4fb2-a41c-b56eff2aa3ea"/>
    <ds:schemaRef ds:uri="6a1cd53a-e536-4dbf-81ec-f4f80085d1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main</vt:lpstr>
      <vt:lpstr>Primary Research Programme</vt:lpstr>
      <vt:lpstr>IEEE PES</vt:lpstr>
      <vt:lpstr>main_extended</vt:lpstr>
      <vt:lpstr>Question Detail Extended</vt:lpstr>
      <vt:lpstr>Section Groups Summary</vt:lpstr>
      <vt:lpstr>Inclusion Matrix</vt:lpstr>
      <vt:lpstr>main!_ftn1</vt:lpstr>
      <vt:lpstr>main!_ftnref1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Gallegos Garay, Pablo I</dc:creator>
  <cp:keywords/>
  <dc:description/>
  <cp:lastModifiedBy>Gallegos Garay, Pablo I</cp:lastModifiedBy>
  <cp:revision/>
  <dcterms:created xsi:type="dcterms:W3CDTF">2024-04-04T08:30:38Z</dcterms:created>
  <dcterms:modified xsi:type="dcterms:W3CDTF">2026-06-03T10:28:24Z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0x010100642D3187297FC04794271D856235D6E6</vt:lpwstr>
  </property>
  <property fmtid="{D5CDD505-2E9C-101B-9397-08002B2CF9AE}" pid="3" name="MediaServiceImageTags">
    <vt:lpwstr/>
  </property>
</Properties>
</file>