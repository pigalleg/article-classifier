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codeName="ThisWorkbook"/>
  <mc:AlternateContent xmlns:mc="http://schemas.openxmlformats.org/markup-compatibility/2006">
    <mc:Choice Requires="x15">
      <x15ac:absPath xmlns:x15ac="http://schemas.microsoft.com/office/spreadsheetml/2010/11/ac" url="https://imperiallondon-my.sharepoint.com/personal/pgallego_ic_ac_uk/Documents/RA/Research agenda/G-PST shared folder/IEEE-GPST Article/Shared documents/Review process/"/>
    </mc:Choice>
  </mc:AlternateContent>
  <xr:revisionPtr revIDLastSave="845" documentId="8_{3BC5FCA6-0913-4D2D-862B-4FB44B82876C}" xr6:coauthVersionLast="47" xr6:coauthVersionMax="47" xr10:uidLastSave="{B78854B9-7707-4018-AC93-3BF5CA202BFC}"/>
  <bookViews>
    <workbookView xWindow="-120" yWindow="-120" windowWidth="29040" windowHeight="15720" firstSheet="2" activeTab="1" xr2:uid="{00000000-000D-0000-FFFF-FFFF00000000}"/>
  </bookViews>
  <sheets>
    <sheet name="Instructions" sheetId="5" r:id="rId1"/>
    <sheet name="Abstracts  - Charlie S" sheetId="3" r:id="rId2"/>
    <sheet name="Evaluation Matrix - Charlie S" sheetId="9" r:id="rId3"/>
  </sheets>
  <externalReferences>
    <externalReference r:id="rId4"/>
    <externalReference r:id="rId5"/>
  </externalReferences>
  <definedNames>
    <definedName name="d">[1]Lookups!$A$2:$A$7</definedName>
    <definedName name="Research_Programmes">[2]Lookups!$A$2:$A$7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K41" i="9" l="1"/>
  <c r="DK42" i="9" s="1"/>
  <c r="DK43" i="9" s="1"/>
  <c r="DK44" i="9" s="1"/>
  <c r="DK45" i="9" s="1"/>
  <c r="DK46" i="9" s="1"/>
  <c r="DK47" i="9" s="1"/>
  <c r="DK48" i="9" s="1"/>
  <c r="DK49" i="9" s="1"/>
  <c r="DK50" i="9" s="1"/>
  <c r="DK51" i="9" s="1"/>
  <c r="DK52" i="9" s="1"/>
  <c r="DK32" i="9"/>
  <c r="DK33" i="9" s="1"/>
  <c r="DK34" i="9" s="1"/>
  <c r="DK35" i="9" s="1"/>
  <c r="DK36" i="9" s="1"/>
  <c r="DK37" i="9" s="1"/>
  <c r="DK38" i="9" s="1"/>
  <c r="DK39" i="9" s="1"/>
  <c r="DK40" i="9" s="1"/>
  <c r="DK23" i="9"/>
  <c r="DK24" i="9" s="1"/>
  <c r="DK25" i="9" s="1"/>
  <c r="DK26" i="9" s="1"/>
  <c r="DK27" i="9" s="1"/>
  <c r="DK28" i="9" s="1"/>
  <c r="DK29" i="9" s="1"/>
  <c r="DK30" i="9" s="1"/>
  <c r="DK31" i="9" s="1"/>
  <c r="DK19" i="9"/>
  <c r="DK20" i="9" s="1"/>
  <c r="DK21" i="9" s="1"/>
  <c r="DK22" i="9" s="1"/>
  <c r="DK17" i="9"/>
  <c r="DK18" i="9" s="1"/>
  <c r="DK16" i="9"/>
  <c r="DK11" i="9"/>
  <c r="DK12" i="9" s="1"/>
  <c r="DK13" i="9" s="1"/>
  <c r="DK14" i="9" s="1"/>
  <c r="DK15" i="9" s="1"/>
  <c r="C9" i="9"/>
  <c r="C10" i="9" s="1"/>
  <c r="C11" i="9" s="1"/>
  <c r="C12" i="9" s="1"/>
  <c r="C13" i="9" s="1"/>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DK6" i="9"/>
  <c r="DK7" i="9" s="1"/>
  <c r="DK8" i="9" s="1"/>
  <c r="DK9" i="9" s="1"/>
  <c r="DK10" i="9" s="1"/>
  <c r="DK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pablo gallegos</author>
  </authors>
  <commentList>
    <comment ref="E2" authorId="0" shapeId="0" xr:uid="{7AEB6801-7D91-435B-9D10-BDC64F921E59}">
      <text>
        <r>
          <rPr>
            <b/>
            <sz val="9"/>
            <color indexed="81"/>
            <rFont val="Tahoma"/>
            <charset val="1"/>
          </rPr>
          <t>pablo gallegos:</t>
        </r>
        <r>
          <rPr>
            <sz val="9"/>
            <color indexed="81"/>
            <rFont val="Tahoma"/>
            <charset val="1"/>
          </rPr>
          <t xml:space="preserve">
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r>
      </text>
    </comment>
    <comment ref="F2" authorId="0" shapeId="0" xr:uid="{6E31A572-4BE9-4B4F-BD85-FDEFC410A4BF}">
      <text>
        <r>
          <rPr>
            <b/>
            <sz val="9"/>
            <color indexed="81"/>
            <rFont val="Tahoma"/>
            <charset val="1"/>
          </rPr>
          <t>pablo gallegos:</t>
        </r>
        <r>
          <rPr>
            <sz val="9"/>
            <color indexed="81"/>
            <rFont val="Tahoma"/>
            <charset val="1"/>
          </rPr>
          <t xml:space="preserve">
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r>
      </text>
    </comment>
    <comment ref="G2" authorId="0" shapeId="0" xr:uid="{AE1D13F4-823C-498A-B4C2-291A20D048BC}">
      <text>
        <r>
          <rPr>
            <b/>
            <sz val="9"/>
            <color indexed="81"/>
            <rFont val="Tahoma"/>
            <charset val="1"/>
          </rPr>
          <t>pablo gallegos:</t>
        </r>
        <r>
          <rPr>
            <sz val="9"/>
            <color indexed="81"/>
            <rFont val="Tahoma"/>
            <charset val="1"/>
          </rPr>
          <t xml:space="preserve">
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r>
      </text>
    </comment>
    <comment ref="H2" authorId="0" shapeId="0" xr:uid="{363D3E2F-9E8E-47F1-A12C-7A9DC5C94EEC}">
      <text>
        <r>
          <rPr>
            <b/>
            <sz val="9"/>
            <color indexed="81"/>
            <rFont val="Tahoma"/>
            <charset val="1"/>
          </rPr>
          <t>pablo gallegos:</t>
        </r>
        <r>
          <rPr>
            <sz val="9"/>
            <color indexed="81"/>
            <rFont val="Tahoma"/>
            <charset val="1"/>
          </rPr>
          <t xml:space="preserve">
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r>
      </text>
    </comment>
    <comment ref="I2" authorId="0" shapeId="0" xr:uid="{7DD9FBCF-4B48-4A8A-BAD7-5C75E4A0FC3A}">
      <text>
        <r>
          <rPr>
            <b/>
            <sz val="9"/>
            <color indexed="81"/>
            <rFont val="Tahoma"/>
            <charset val="1"/>
          </rPr>
          <t>pablo gallegos:</t>
        </r>
        <r>
          <rPr>
            <sz val="9"/>
            <color indexed="81"/>
            <rFont val="Tahoma"/>
            <charset val="1"/>
          </rPr>
          <t xml:space="preserve">
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r>
      </text>
    </comment>
    <comment ref="J2" authorId="0" shapeId="0" xr:uid="{B3E33966-C814-4948-A3BF-3B7086AC3AD2}">
      <text>
        <r>
          <rPr>
            <b/>
            <sz val="9"/>
            <color indexed="81"/>
            <rFont val="Tahoma"/>
            <charset val="1"/>
          </rPr>
          <t>pablo gallegos:</t>
        </r>
        <r>
          <rPr>
            <sz val="9"/>
            <color indexed="81"/>
            <rFont val="Tahoma"/>
            <charset val="1"/>
          </rPr>
          <t xml:space="preserve">
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r>
      </text>
    </comment>
    <comment ref="K2" authorId="0" shapeId="0" xr:uid="{F9F93FA3-595A-4177-ADC9-5E6F1936A05C}">
      <text>
        <r>
          <rPr>
            <b/>
            <sz val="9"/>
            <color indexed="81"/>
            <rFont val="Tahoma"/>
            <charset val="1"/>
          </rPr>
          <t>pablo gallegos:</t>
        </r>
        <r>
          <rPr>
            <sz val="9"/>
            <color indexed="81"/>
            <rFont val="Tahoma"/>
            <charset val="1"/>
          </rPr>
          <t xml:space="preserve">
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r>
      </text>
    </comment>
    <comment ref="L2" authorId="0" shapeId="0" xr:uid="{027845D9-1EB8-4FF5-ABEE-46D7EA1C3592}">
      <text>
        <r>
          <rPr>
            <b/>
            <sz val="9"/>
            <color indexed="81"/>
            <rFont val="Tahoma"/>
            <charset val="1"/>
          </rPr>
          <t>pablo gallegos:</t>
        </r>
        <r>
          <rPr>
            <sz val="9"/>
            <color indexed="81"/>
            <rFont val="Tahoma"/>
            <charset val="1"/>
          </rPr>
          <t xml:space="preserve">
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indicate that HOT-Nets substantially outperforms 9 state-of-the-art methods, yielding relative gains of up to 14.04% in terms of system resilience classification.</t>
        </r>
      </text>
    </comment>
    <comment ref="M2" authorId="0" shapeId="0" xr:uid="{45A93366-6AEA-438B-98C4-8918ECBDBD4C}">
      <text>
        <r>
          <rPr>
            <b/>
            <sz val="9"/>
            <color indexed="81"/>
            <rFont val="Tahoma"/>
            <charset val="1"/>
          </rPr>
          <t>pablo gallegos:</t>
        </r>
        <r>
          <rPr>
            <sz val="9"/>
            <color indexed="81"/>
            <rFont val="Tahoma"/>
            <charset val="1"/>
          </rPr>
          <t xml:space="preserve">
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r>
      </text>
    </comment>
    <comment ref="N2" authorId="0" shapeId="0" xr:uid="{88541FDF-2108-40D8-B24C-75A92669B305}">
      <text>
        <r>
          <rPr>
            <b/>
            <sz val="9"/>
            <color indexed="81"/>
            <rFont val="Tahoma"/>
            <charset val="1"/>
          </rPr>
          <t>pablo gallegos:</t>
        </r>
        <r>
          <rPr>
            <sz val="9"/>
            <color indexed="81"/>
            <rFont val="Tahoma"/>
            <charset val="1"/>
          </rPr>
          <t xml:space="preserve">
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r>
      </text>
    </comment>
    <comment ref="O2" authorId="0" shapeId="0" xr:uid="{5F3519A1-5E5F-4930-AA43-CBAC98988EE8}">
      <text>
        <r>
          <rPr>
            <b/>
            <sz val="9"/>
            <color indexed="81"/>
            <rFont val="Tahoma"/>
            <charset val="1"/>
          </rPr>
          <t>pablo gallegos:</t>
        </r>
        <r>
          <rPr>
            <sz val="9"/>
            <color indexed="81"/>
            <rFont val="Tahoma"/>
            <charset val="1"/>
          </rPr>
          <t xml:space="preserve">
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r>
      </text>
    </comment>
    <comment ref="P2" authorId="0" shapeId="0" xr:uid="{8F7CF104-A342-43DD-B5EB-3D74E4FBD85C}">
      <text>
        <r>
          <rPr>
            <b/>
            <sz val="9"/>
            <color indexed="81"/>
            <rFont val="Tahoma"/>
            <charset val="1"/>
          </rPr>
          <t>pablo gallegos:</t>
        </r>
        <r>
          <rPr>
            <sz val="9"/>
            <color indexed="81"/>
            <rFont val="Tahoma"/>
            <charset val="1"/>
          </rPr>
          <t xml:space="preserve">
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r>
      </text>
    </comment>
    <comment ref="Q2" authorId="0" shapeId="0" xr:uid="{CC61B8CC-DCA0-42AC-9FAF-36CEA8740A99}">
      <text>
        <r>
          <rPr>
            <b/>
            <sz val="9"/>
            <color indexed="81"/>
            <rFont val="Tahoma"/>
            <charset val="1"/>
          </rPr>
          <t>pablo gallegos:</t>
        </r>
        <r>
          <rPr>
            <sz val="9"/>
            <color indexed="81"/>
            <rFont val="Tahoma"/>
            <charset val="1"/>
          </rPr>
          <t xml:space="preserve">
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r>
      </text>
    </comment>
    <comment ref="R2" authorId="0" shapeId="0" xr:uid="{C6FF32D4-0CD6-4A68-8F30-53D32CB41390}">
      <text>
        <r>
          <rPr>
            <b/>
            <sz val="9"/>
            <color indexed="81"/>
            <rFont val="Tahoma"/>
            <charset val="1"/>
          </rPr>
          <t>pablo gallegos:</t>
        </r>
        <r>
          <rPr>
            <sz val="9"/>
            <color indexed="81"/>
            <rFont val="Tahoma"/>
            <charset val="1"/>
          </rPr>
          <t xml:space="preserve">
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r>
      </text>
    </comment>
    <comment ref="S2" authorId="0" shapeId="0" xr:uid="{8B23C1E3-3754-407C-990B-E927620F1679}">
      <text>
        <r>
          <rPr>
            <b/>
            <sz val="9"/>
            <color indexed="81"/>
            <rFont val="Tahoma"/>
            <charset val="1"/>
          </rPr>
          <t>pablo gallegos:</t>
        </r>
        <r>
          <rPr>
            <sz val="9"/>
            <color indexed="81"/>
            <rFont val="Tahoma"/>
            <charset val="1"/>
          </rPr>
          <t xml:space="preserve">
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 In case that 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r>
      </text>
    </comment>
    <comment ref="T2" authorId="0" shapeId="0" xr:uid="{10C7D163-F27A-4052-B34C-4FA2EB085CA7}">
      <text>
        <r>
          <rPr>
            <b/>
            <sz val="9"/>
            <color indexed="81"/>
            <rFont val="Tahoma"/>
            <charset val="1"/>
          </rPr>
          <t>pablo gallegos:</t>
        </r>
        <r>
          <rPr>
            <sz val="9"/>
            <color indexed="81"/>
            <rFont val="Tahoma"/>
            <charset val="1"/>
          </rPr>
          <t xml:space="preserve">
To integrate weak onshore grids, some grid forming (GFM) control schemes taking advantage of DC voltage synchronization have been proposed for modular multilevel converter-based high-voltage direct current (MMC-HVDC) systems. In these control schemes, the sub-module (SM) capacitor energy is only used for grid synchronization. Since the SM capacitor is an energy storage device, it has the potential to actively regulate the stored energy. To fully exploit the energy management capability of MMC, a dual grid forming control scheme with energy regulation capability is presented in this paper. The proposed control scheme enables grid forming for both onshore and offshore MMC stations. Meanwhile, the capacitor energy of MMCs can be flexibly regulated to provide frequency support for the onshore grid. To verify the effectiveness of the proposed control scheme, case studies are first carried out in a point-to-point offshore wind farms (OWFs) integrated HVDC system. In addition, the frequency support performance is evaluated in a 3-area 4-machine grid integrated with two OWFs-HVDC systems. Finally, a single-terminal three-phase MMC prototype is developed to test the voltage decoupling and energy management capabilities of the proposed control strategy.</t>
        </r>
      </text>
    </comment>
    <comment ref="U2" authorId="0" shapeId="0" xr:uid="{B47F81BD-D763-45A3-B98B-120A2BA4F277}">
      <text>
        <r>
          <rPr>
            <b/>
            <sz val="9"/>
            <color indexed="81"/>
            <rFont val="Tahoma"/>
            <charset val="1"/>
          </rPr>
          <t>pablo gallegos:</t>
        </r>
        <r>
          <rPr>
            <sz val="9"/>
            <color indexed="81"/>
            <rFont val="Tahoma"/>
            <charset val="1"/>
          </rPr>
          <t xml:space="preserve">
Frequency security is one of the challenges for the power grid penetrated by renewable energy systems (RESs). Virtual inertia provision from the RESs is considered to be efficient support for frequency security enhancement. How to estimate the frequency nadir rapidly and accurately is crucial for the online inertia allocation for the RESs. This paper develops a generic average system frequency (G-ASF) model for the power grid to estimate the frequency nadir at first. The low-order generic model of the speed governing system of the SG is proposed to enhance the accuracy and flexibility of the G-ASF model. Then, based on the G-ASF model, an online inertia allocation strategy for the grid-connected RESs under frequency nadir constraint is proposed. With the pre-identified generic models of the speed governing systems, the G-ASF model of the entire power grid is periodically updated according to the grid operation state. Next to the model updating, the critical inertia of the power grid is periodically calculated under the pre-defined contingencies for frequency security verification. Then, the virtual inertia provision tasks are determined and allocated to the RESs periodically, and the grid frequency security is effectively ensured. The simulation results validate the proposed model and strategy.</t>
        </r>
      </text>
    </comment>
    <comment ref="V2" authorId="0" shapeId="0" xr:uid="{30A28140-3228-4D25-B875-B1A8D16B03AC}">
      <text>
        <r>
          <rPr>
            <b/>
            <sz val="9"/>
            <color indexed="81"/>
            <rFont val="Tahoma"/>
            <charset val="1"/>
          </rPr>
          <t>pablo gallegos:</t>
        </r>
        <r>
          <rPr>
            <sz val="9"/>
            <color indexed="81"/>
            <rFont val="Tahoma"/>
            <charset val="1"/>
          </rPr>
          <t xml:space="preserve">
The high penetration of converter-based renewable energy sources has brought challenges to the power system frequency control. It is essential to consider the frequency security constraints and frequency control reserve requirements in unit commitment (UC). First, a novel extreme learning machine-based method is proposed to approximate the highly nonlinear frequency nadir constraint (FNC) by a set of linear constraints. Second, considering the variation of the frequency insecurity risk under the changing operational condition, we propose to optimize the primary frequency control (PFC) droop gains and reserve capacities in the UC model to provide diverse control efforts in different risk levels adaptively. Third, a secondary frequency control (SFC) reserve capacity quantification method is proposed by combining the Copula theory and distributionally robust optimization technique. The UC simulation is conducted on the IEEE 118-bus system to test the proposed optimal PFC droop gain strategy and SFC reserve capacity quantification method. Simulation results show that the proposed optimal PFC droop gain strategy is better than the traditional fixed PFC droop gain setting on economic efficiency and operational flexibility. Besides, the SFC reserve capacity calculated by the proposed method is more appropriate than the actual SFC reserve capacity in the historical operation.</t>
        </r>
      </text>
    </comment>
    <comment ref="W2" authorId="0" shapeId="0" xr:uid="{52084F3C-CF04-4A63-9E6B-F6C2CDA85AAE}">
      <text>
        <r>
          <rPr>
            <b/>
            <sz val="9"/>
            <color indexed="81"/>
            <rFont val="Tahoma"/>
            <charset val="1"/>
          </rPr>
          <t>pablo gallegos:</t>
        </r>
        <r>
          <rPr>
            <sz val="9"/>
            <color indexed="81"/>
            <rFont val="Tahoma"/>
            <charset val="1"/>
          </rPr>
          <t xml:space="preserve">
This work proposes a primary frequency support mechanism for a voltage source converter (VSC) based multi-terminal high voltage dc (MTDC) transmission system that interconnects asynchronous ac grids. For the ac disturbance case, an augmented control strategy composed of a coordinated droop control (CDC) and a supplementary controller is developed. In CDC, the droop constants are determined considering the desired disturbance sharing ratio among the ac areas and the loading of the converters. On the other hand, the supplementary controller makes the designed droop constants provide the expected performance independent of the dc network parameters and the VSCs power losses. Therefore, the augmented controller can make the interconnected ac power systems exchange power according to the specified disturbance sharing ratio. In addition, the work introduces a new power rerouting technique to enhance the frequency and the dc voltage regulation of the ac/dc power system when a VSC trips. Furthermore, the droop constants for the nominal operation are designed to make the ac grids share the disturbance due to wind farm power variation based on their strength. Case studies are conducted for evaluation, and the presented technique shows enhanced performance in frequency and dc voltage regulations compared to the existing mechanisms in the literature.</t>
        </r>
      </text>
    </comment>
    <comment ref="X2" authorId="0" shapeId="0" xr:uid="{EE7058B4-09B4-419C-BAD3-62639CC51CD7}">
      <text>
        <r>
          <rPr>
            <b/>
            <sz val="9"/>
            <color indexed="81"/>
            <rFont val="Tahoma"/>
            <charset val="1"/>
          </rPr>
          <t>pablo gallegos:</t>
        </r>
        <r>
          <rPr>
            <sz val="9"/>
            <color indexed="81"/>
            <rFont val="Tahoma"/>
            <charset val="1"/>
          </rPr>
          <t xml:space="preserve">
Grid-forming converters (GFC) are promising technology for improving the grid inertia and frequency stability via voltage source converters (VSC). However, GFCs could make the ac-side oscillations more complicated since it mimics the dynamics of synchronous generators (SG), and the ac-side oscillations could spread to the dc systems. This paper investigates the mechanism of the interactions between GFCs and ac grids, and proposes an enhanced GFC to improve the damping performance on oscillations. By separating the system model into GFC-related transfer functions (TF) and the ac grid-related TFs, the interaction and stability margin can be investigated by the phase difference of these TFs at the cross-gain frequency (CGF). A lead compensator is designed to reshape the phase characteristic of GFC-related TF for enhancing the damping performance of the GFC. The effectiveness of the enhanced GFC is tested according to the simulations on DIgSILENT/PowerFactory.</t>
        </r>
      </text>
    </comment>
    <comment ref="Y2" authorId="0" shapeId="0" xr:uid="{D725DD2B-FA0E-4B66-A130-8D4A098A4B54}">
      <text>
        <r>
          <rPr>
            <b/>
            <sz val="9"/>
            <color indexed="81"/>
            <rFont val="Tahoma"/>
            <charset val="1"/>
          </rPr>
          <t>pablo gallegos:</t>
        </r>
        <r>
          <rPr>
            <sz val="9"/>
            <color indexed="81"/>
            <rFont val="Tahoma"/>
            <charset val="1"/>
          </rPr>
          <t xml:space="preserve">
This paper addresses the instabilities and dynamic interactions in a centralized vector-controlled voltage-source converter interfacing a single-stage utility-scale photovoltaic (PV) generator to a high-impedance grid system. The dynamic resistance of the PV generator is considered, and effective active stabilization methods to guarantee the entire system's stability are proposed. Further, a complete state-space linearized model is developed, and different operating conditions alongside the maximum-power operation (MPO) are considered, such as fixed-voltage operation (FVO) and fixed-current operation (FCO). It is found that with the change of the PV generator operation from the FVO or MPO to the FCO region under the weak grid and nominal dc-link capacitance conditions, the dominant eigenmodes are relocated to the open-right-half-plane of the S-plane. This eventually induces inevitable high- and low-frequency oscillation instabilities. Further, it is found that medium-frequency oscillation instability is induced in the FVO region under a weak grid and reduced dc-link capacitance conditions. Active compensators are proposed to reduce the interaction dynamics and stabilize the entire system by reshaping the converter transfer functions; hence, the Nyquist stability criterion is maintained. Finally, detailed nonlinear time-domain simulation results are provided, showing the effectiveness of the proposed method in preserving the system's stability under a wide range of operation conditions.</t>
        </r>
      </text>
    </comment>
    <comment ref="Z2" authorId="0" shapeId="0" xr:uid="{3297B50C-1EE4-475D-B8A5-58C67EAFDBE5}">
      <text>
        <r>
          <rPr>
            <b/>
            <sz val="9"/>
            <color indexed="81"/>
            <rFont val="Tahoma"/>
            <charset val="1"/>
          </rPr>
          <t>pablo gallegos:</t>
        </r>
        <r>
          <rPr>
            <sz val="9"/>
            <color indexed="81"/>
            <rFont val="Tahoma"/>
            <charset val="1"/>
          </rPr>
          <t xml:space="preserve">
Voltage and frequency stability is one of the major concerns with the continuously increasing penetration of offshore wind farms (OWFs) integrated into onshore grid via VSC-MTDC system, and it is a challenge to coordinate its low voltage ride-through (LVRT) and frequency regulation (FR) control when a local fault or large disturbance occurs in onshore grid. To address this challenge, a coordinated voltage-frequency support (CVFS) method for the VSC-MTDC integrated OWFs system is proposed in three parts: 1) an adaptive maximum power point tracking (MPPT) strategy is developed for wind turbines (WTs) to satisfy the power demands for LVRT and FR; 2) an active and reactive power quantification strategy, which firstly considers the static load characteristics of nodes nearest the grid side VSC (GSVSC) stations, is proposed for GSVSC stations to support LVRT and FR respectively; 3) an adaptive power allocation strategy, which considers the capacity constraint and the coordination factor with deviation and rate of change of voltage and frequency of different GSVSC stations, is conducted to achieve differential power distribution between LVRT and FR. Extensive test results have validated the effectiveness and performance of the proposed CVFS method.</t>
        </r>
      </text>
    </comment>
    <comment ref="AA2" authorId="0" shapeId="0" xr:uid="{95947B35-66B4-4E4C-8E99-00B23BCEE3AD}">
      <text>
        <r>
          <rPr>
            <b/>
            <sz val="9"/>
            <color indexed="81"/>
            <rFont val="Tahoma"/>
            <charset val="1"/>
          </rPr>
          <t>pablo gallegos:</t>
        </r>
        <r>
          <rPr>
            <sz val="9"/>
            <color indexed="81"/>
            <rFont val="Tahoma"/>
            <charset val="1"/>
          </rPr>
          <t xml:space="preserve">
Dynamic operating envelopes (DOEs) have been introduced in recent years as a means to manage the operation of distributed energy resources (DERs) within the network operational constraints. DOEs can be used by network operators to communicate DER dispatchable capacity to aggregators or customers without further consideration of network constraints and are thus viewed as a key enabler for demand-side participation in future electricity markets and for ensuring the integrity of distribution networks. While a number of approaches have been developed to calculate DOEs, uncertainties in system data are typically ignored, which can lead to unreliable results and introduce security risks in network operations. This article presents a deterministic procedure to calculate robust DOEs (RDOEs) explicitly hedged against uncertainty and variability in customers' loads and generations. The approach is based on a geometric construction strictly included within the feasible region of a linear unbalanced three-phase optimal power flow problem that specifies the network operational constraints. The article analyses and rigorously shows that the proposed approach also delivers proportional fairness in capacity allocations, and demonstrates how the RDOEs can be enlarged by i) exploiting the knowledge of customer operational statuses and ii) by optimising customers' controllable reactive powers. The efficiency and compliance of the proposed approach are characterised and discussed for three numerical case studies of varying complexity.</t>
        </r>
      </text>
    </comment>
    <comment ref="AB2" authorId="0" shapeId="0" xr:uid="{7B3B227F-29B4-4E18-9BFA-3BD6140A8E69}">
      <text>
        <r>
          <rPr>
            <b/>
            <sz val="9"/>
            <color indexed="81"/>
            <rFont val="Tahoma"/>
            <charset val="1"/>
          </rPr>
          <t>pablo gallegos:</t>
        </r>
        <r>
          <rPr>
            <sz val="9"/>
            <color indexed="81"/>
            <rFont val="Tahoma"/>
            <charset val="1"/>
          </rPr>
          <t xml:space="preserve">
In the presence of increasing uncertainties brought by intermittent renewable energy sources, security and risk management continue to be the most critical concern in modern power system operation. Risk-aware, real-time security constrained economic dispatch (RT-SCED) provides an efficient solution towards promptly, economically and robustly responding to the changes in the power system operating state. Despite different model-based methods have been developed to handle uncertainties, significant computation burden arise to incorporate N-1 contingency constraints with a higher temporal resolution in RT-SCED. Driven by similar computational challenges, risk evaluation is often overlooked in the current application of deep reinforcement learning (DRL) based data-driven methods in RT-SCED. This article proposes a DRL-based risk-aware RT-SCED methodological framework by incorporating a novel data-driven risk evaluation model to foster efficient agent-environment interactions. The real-time dispatch policies are constructed with an improved twin delayed deep deterministic policy gradient method. The policy network features a residual network architecture and incorporates an active power allocation mechanism to integrate empirical dispatch knowledge, preventing early termination and fostering more efficient learning behavior. Case studies validate the superior performance of the proposed method in risk-aware RT-SCED on cost efficiency, uncertainty adaptability and computational efficiency, through benchmarking against model-based and data-driven baseline methods.</t>
        </r>
      </text>
    </comment>
    <comment ref="AC2" authorId="0" shapeId="0" xr:uid="{AC547F4D-6BD7-4470-9CC2-57EE5A4CA266}">
      <text>
        <r>
          <rPr>
            <b/>
            <sz val="9"/>
            <color indexed="81"/>
            <rFont val="Tahoma"/>
            <charset val="1"/>
          </rPr>
          <t>pablo gallegos:</t>
        </r>
        <r>
          <rPr>
            <sz val="9"/>
            <color indexed="81"/>
            <rFont val="Tahoma"/>
            <charset val="1"/>
          </rPr>
          <t xml:space="preserve">
This article addresses the challenge of mitigating line overloading/congestion caused by renewable penetration and contingencies. Traditional methods of mitigating overloading involve generation rescheduling in tertiary dispatch every 5-30 minutes. This approach is generally based on forecasted load and generation, and not effective in real-time corrective actions. The article introduces a model-free Neuro Predictive Controller (NPC) that can map line power flows to the inputs of dispatching resources such as generators and/or battery energy storage systems. The NPC receives synchrophasor measurement of line power flows and generates control inputs (i.e., set points) to generators and/or battery energy storage systems. The controller does not require frequent update of the system model. The efficacy of the controller was tested on 16-machine 68-bus test system and the Indian grid for various scenarios, such as line outage, generator outage, variable renewable generation, and load change. The proposed controller demonstrated better performance as compared to the existing controllers. Upon successful implementation, the controller can regulate line flow in less than 60 seconds, allowing the lines to operate closer to the thermal limit and resolve limit violations due to contingencies and variable renewable generation in real-time.</t>
        </r>
      </text>
    </comment>
    <comment ref="AD2" authorId="0" shapeId="0" xr:uid="{F3F5EFAF-2180-4DF4-925D-8570FAA58260}">
      <text>
        <r>
          <rPr>
            <sz val="9"/>
            <color indexed="81"/>
            <rFont val="Tahoma"/>
            <family val="2"/>
          </rPr>
          <t>With the integration of large-scale renewable energy sources (RES) and high voltage direct current (HVDC) based inter-regional transmission, modern power systems are facing low-inertia issues and poor frequency regulation capabilities. This article conducts a comprehensive review on frequency control and optimal operation methods in this context. First, the frequency characteristic of a low-inertia power system is analyzed covering the whole frequency response process. Secondly, the impacts of RES and HVDC integration on system inertia and frequency performance are studied, and the system frequency characteristics considering RES and HVDC are analyzed. Then, the frequency response modes of various frequency regulation resources are compared from the perspective of "source-grid-load-storage", including their basic control principles and frequency control strategies. Further, from the operation dispatch perspective, the frequency security-constrained power system optimal operation methods are reviewed. Finally, future research trends in this area are discussed.</t>
        </r>
      </text>
    </comment>
    <comment ref="AE2" authorId="0" shapeId="0" xr:uid="{ECEF8236-F692-43AE-90A6-A8AED7226541}">
      <text>
        <r>
          <rPr>
            <b/>
            <sz val="9"/>
            <color indexed="81"/>
            <rFont val="Tahoma"/>
            <charset val="1"/>
          </rPr>
          <t>pablo gallegos:</t>
        </r>
        <r>
          <rPr>
            <sz val="9"/>
            <color indexed="81"/>
            <rFont val="Tahoma"/>
            <charset val="1"/>
          </rPr>
          <t xml:space="preserve">
Additional active power control (AAPC) of wind turbines (WTs) is essential to improve the transient frequency stability of low-inertia power systems. Most of the existing research has focused on imitating the frequency response of the synchronous generator (SG), known as virtual inertia control (VIC), but are such control laws optimal for the power systems? Inspired by this question, this article proposes an optimal AAPC of WTs to maximize the frequency nadir post a major power deficit. By decoupling the WT response and the frequency dynamics, the optimal frequency trajectory is solved based on the trajectory model, and its universality is strictly proven. Then the optimal AAPC of WTs is constructed reversely based on the average system frequency (ASF) model with the optimal frequency trajectory as the desired control results. The proposed method can significantly improve the system frequency nadir. Meanwhile, the event insensitivity makes it can be deployed based on the on-line rolling update under a hypothetic disturbance, avoiding the heavy post-event computational burden. Finally, simulation results in a two-machine power system and the IEEE 39 bus power system verify the effectiveness of the optimal AAPC of WTs.</t>
        </r>
      </text>
    </comment>
    <comment ref="AF2" authorId="0" shapeId="0" xr:uid="{E712EBB6-8EAE-47B9-9639-4D7F945BB351}">
      <text>
        <r>
          <rPr>
            <b/>
            <sz val="9"/>
            <color indexed="81"/>
            <rFont val="Tahoma"/>
            <charset val="1"/>
          </rPr>
          <t>pablo gallegos:</t>
        </r>
        <r>
          <rPr>
            <sz val="9"/>
            <color indexed="81"/>
            <rFont val="Tahoma"/>
            <charset val="1"/>
          </rPr>
          <t xml:space="preserve">
Dynamic operating envelopes (DOEs) are promising to cater for the strong uptake of distributed energy resources (DERs) in low-voltage (LV) distribution networks while ensuring secure network operation. Under the current framework, DOEs only specify active-reactive power set-points at households' point of connection (POC). In this regard, DOEs do not provide information on the feasible operating region (FOR) of end-users, which is helpful for an aggregator's market decisions. This article proposes a near real-time approach to determine DOEs that specify the FOR at end-users' POC in an LV distribution network. First, Latin hypercube sampling (LHS)-based load flow studies are performed to identify feasible pairs of P-Q injections at the POC that would not breach voltage limits. Secondly, the convex hull of feasible pairs is constructed to obtain household DOEs. Finally, a feeder-level time-varying envelope that represents the aggregate flexibility of downstream nodes of the network is calculated. A comprehensive analysis on a real Australian LV distribution network using realistic data suggests that the proposed approach is scalable and encourages active power exports beyond current industry practice. Moreover, the framework ensures privacy and separation between the distribution network service provider (DNSP) and the aggregator aligned with the existing policy and regulatory frameworks.</t>
        </r>
      </text>
    </comment>
    <comment ref="AG2" authorId="0" shapeId="0" xr:uid="{419F880D-013B-4D7F-99DF-3C25198B8C9C}">
      <text>
        <r>
          <rPr>
            <b/>
            <sz val="9"/>
            <color indexed="81"/>
            <rFont val="Tahoma"/>
            <charset val="1"/>
          </rPr>
          <t>pablo gallegos:</t>
        </r>
        <r>
          <rPr>
            <sz val="9"/>
            <color indexed="81"/>
            <rFont val="Tahoma"/>
            <charset val="1"/>
          </rPr>
          <t xml:space="preserve">
With numerous distributed energy resources (DERs) integrated into the distribution networks (DNs), the coordinated economic dispatch (C-ED) is essential for the integrated transmission and distribution grids. For large scale power grids, the centralized C-ED meets high computational burden and information privacy issues. To tackle these issues, this paper proposes a spatio-temporal decomposition algorithm to solve the C-ED in a distributed and parallel manner. In the temporal dimension, the multi-period economic dispatch (ED) of transmission grid (TG) is decomposed to several subproblems by introducing auxiliary variables and overlapping time intervals to deal with the temporal coupling constraints. Besides, an accelerated alternative direction method of multipliers (A-ADMM) based temporal decomposition algorithm with a good initialization strategy, is developed to solve the ED subproblems of TG in parallel. In the spatial dimension, a multi-parametric programming projection based spatial decomposition algorithm is developed to coordinate the ED problems of TG and DNs in a distributed manner. To further improve the convergence performance of the spatial decomposition algorithm, the aggregate equivalence approach is used for determining the feasible range of boundary variables of TG and DNs. Moreover, we prove that the proposed spatio-temporal decomposition method can obtain the optimal solution for bilevel convex optimization problems with continuously differentiable objectives and constraints. Numerical tests are conducted on three systems with different scales, demonstrating the high computational efficiency and scalability of the proposed spatio-temporal decomposition method.</t>
        </r>
      </text>
    </comment>
    <comment ref="AH2" authorId="0" shapeId="0" xr:uid="{C6295F82-BA3E-4D7C-ABF1-F31CBA33B0F9}">
      <text>
        <r>
          <rPr>
            <b/>
            <sz val="9"/>
            <color indexed="81"/>
            <rFont val="Tahoma"/>
            <charset val="1"/>
          </rPr>
          <t>pablo gallegos:</t>
        </r>
        <r>
          <rPr>
            <sz val="9"/>
            <color indexed="81"/>
            <rFont val="Tahoma"/>
            <charset val="1"/>
          </rPr>
          <t xml:space="preserve">
It is of imperative interests for regional transmission organizations (RTOs) to effectively extract actual load profiles at transmission nodes with significant behind-the-meter solar generation, which remains a gap in the existing technology paradigm. This paper proposes an explicit yet efficient linear estimator to disaggregate actual load profiles at transmission buses with significant behind-the-meter (BTM) solar generations. The proposed estimator is based on disaggregating (i.e., extracting) at locations close to transmission buses under consideration. To overcome the lack of ground truth and validate the performance of the proposed algorithms, we first propose semi-supervised mechanisms with parameter tuning as well as unsupervised clustering and leverage the unique characteristics of zero-crossing points in BTM solar peaking behaviors, which we refer to as Zone-to-Node (Z2N) methods. Next, we further propose a bi-level Node-to-Node (N2N) framework that improves the overall disaggregation performances compared to Z2N. Numerical results are presented using real-world data at PJM Interconnection.</t>
        </r>
      </text>
    </comment>
    <comment ref="AI2" authorId="0" shapeId="0" xr:uid="{735385B0-27BF-4C19-9000-0194CF61F005}">
      <text>
        <r>
          <rPr>
            <b/>
            <sz val="9"/>
            <color indexed="81"/>
            <rFont val="Tahoma"/>
            <charset val="1"/>
          </rPr>
          <t>pablo gallegos:</t>
        </r>
        <r>
          <rPr>
            <sz val="9"/>
            <color indexed="81"/>
            <rFont val="Tahoma"/>
            <charset val="1"/>
          </rPr>
          <t xml:space="preserve">
Focusing on the ability of microgrids (MGs) to provide a backup power supply to the distribution system in the event of main grid outages or disruptions, this article aims to propose a reliability model for self-controlled distributed energy resource-rich MGs from the perspective of the distribution system to which they are connected. To that end, the reliability model of MGs is derived using the Monte Carlo simulation approach and a mixed-integer linear programming-based model for optimal scheduling and resource management of MGs. An analytical framework for assessing the reliability of distribution systems in the presence of MGs is then developed by leveraging the proposed reliability model for MGs. Modeling and analyzing MGs using the proposed methodology result in the simplification and acceleration of computations associated with the reliability assessment of a distribution system including multiple MGs. The effectiveness and applicability of the proposed method are demonstrated through its implementation on a modified IEEE test system.</t>
        </r>
      </text>
    </comment>
    <comment ref="AJ2" authorId="0" shapeId="0" xr:uid="{2FC96591-D419-48CF-9718-9DEBBDDD160F}">
      <text>
        <r>
          <rPr>
            <b/>
            <sz val="9"/>
            <color indexed="81"/>
            <rFont val="Tahoma"/>
            <charset val="1"/>
          </rPr>
          <t>pablo gallegos:</t>
        </r>
        <r>
          <rPr>
            <sz val="9"/>
            <color indexed="81"/>
            <rFont val="Tahoma"/>
            <charset val="1"/>
          </rPr>
          <t xml:space="preserve">
Distributed energy resources (DER) and control assets on the grid provide mechanisms to ensure voltage support and power quality, and can be used as a means to maintain voltages close to nominal values. In this work, we study the security region of a system in the presence of devices with dynamics. We focus our efforts on the dynamics of devices that apply discrete changes, such as voltage regulators or capacitor banks, and DERs that change the power injections with Volt/Var/Watt functionality. The slow dynamics of these devices, coupled through the power flow equations, are modeled as a switching dynamical system where the switching condition depends on the operating point of the system. We identify the feasible set of DER power injections that prevent the switching of devices and oscillations in the voltage profile, and formulate an optimization problem that finds a robust operating point for voltage control. This operating point is the center of the largest Euclidean ball inscribed in the security region, and the radius of the ball is the security margin of the system. We showcase our models using the IEEE test cases. Our work has applications in voltage control and distribution planning.</t>
        </r>
      </text>
    </comment>
    <comment ref="AK2" authorId="0" shapeId="0" xr:uid="{8C8B5912-E1DF-4015-8A08-8FB42A49E1A8}">
      <text>
        <r>
          <rPr>
            <b/>
            <sz val="9"/>
            <color indexed="81"/>
            <rFont val="Tahoma"/>
            <charset val="1"/>
          </rPr>
          <t>pablo gallegos:</t>
        </r>
        <r>
          <rPr>
            <sz val="9"/>
            <color indexed="81"/>
            <rFont val="Tahoma"/>
            <charset val="1"/>
          </rPr>
          <t xml:space="preserve">
Developing a low-order model for a target with dynamic analysis and control of the primary frequency regulation (PFR) is critical for power system stability. Measurement-based modelling is an important way to improve the model fit with practical systems. The traditional interpretation of PFR is based on the combined effect of each generator unit on the system frequency, so the response of each unit needs to be measured for modelling. With the integration of a large number, distribution and diversified frequency regulation of units into a power system, it will be a burden to measure the response of all generation units. Instead of revealing the PFR dynamics based on each generation unit, this paper illustrates the impact of all units on the frequency dynamics from the perspective of the system response. Only the system frequency is needed to construct a dataset for identifying the PFR model so that the measurement required is sparse. The effectiveness of the proposed method is verified using a test system containing multiple types of units in numerical simulations and real measurements of an actual power system.</t>
        </r>
      </text>
    </comment>
    <comment ref="AL2" authorId="0" shapeId="0" xr:uid="{4DB5C515-83E6-4EDE-85A9-61D802EB152C}">
      <text>
        <r>
          <rPr>
            <b/>
            <sz val="9"/>
            <color indexed="81"/>
            <rFont val="Tahoma"/>
            <charset val="1"/>
          </rPr>
          <t>pablo gallegos:</t>
        </r>
        <r>
          <rPr>
            <sz val="9"/>
            <color indexed="81"/>
            <rFont val="Tahoma"/>
            <charset val="1"/>
          </rPr>
          <t xml:space="preserve">
This paper proposes a novel real-time redispatch method for energy storage systems (ESSs) in resource adequacy studies. In case of real-time contingencies, a realistic operating profile is generated for ESSs to enhance system reliability by mitigating loss of load events, while maintaining their market schedule to the extent possible. Contrary to the standard approaches in the literature, the proposed method neither adopts a perfect foresight for future events, such as generator failures, nor does it resort to “greedy” adequacy-oriented management strategies which are detached from normal operation. Instead, storages follow a market-driven schedule, being suitably redispatched during real-time operation when necessary for adequacy reasons, subject to their energy and power capacity constraints. The redispatch method is deterministically formulated through a sequence of logical conditions and is integrated into a stochastic adequacy assessment model built upon Monte Carlo technique. Multiple battery energy storage configurations have been examined, with the Greek power system serving as a realistic case study, to evaluate the method against others available in the literature and calculate the capacity value of battery ESS.</t>
        </r>
      </text>
    </comment>
    <comment ref="AM2" authorId="0" shapeId="0" xr:uid="{8B171DAC-2A09-4B16-ACC5-1EAA73E09C55}">
      <text>
        <r>
          <rPr>
            <b/>
            <sz val="9"/>
            <color indexed="81"/>
            <rFont val="Tahoma"/>
            <charset val="1"/>
          </rPr>
          <t>pablo gallegos:</t>
        </r>
        <r>
          <rPr>
            <sz val="9"/>
            <color indexed="81"/>
            <rFont val="Tahoma"/>
            <charset val="1"/>
          </rPr>
          <t xml:space="preserve">
Load unbalance in electric distribution systems is unavoidable. Unbalanced load currents will lead to negative sequence (NS) voltages that may damage electric equipment. Unbalanced power flow analysis is a common tool to detect and mitigate NS voltage issues and requires accurate models of grid components. While traditional source models are available, grid-forming (GFM) inverter models are not well developed. GFM inverters implement various control strategies, which affect their power flow models. In this article, a novel GFM inverter model considering control effects is proposed. We show that for some control methods, unbalanced system loading will lead to unbalanced terminal voltages of the GFM inverters, which are modeled through an equivalent negative sequence impedance. The proposed models are initially validated using a simple test circuit. Then, they are applied in the power flow analysis on the IEEE 13-bus and 34-bus systems to demonstrate the accuracy improvement over the state-of-the-art. Using time-domain simulations as benchmarks, we show that the proposed models reduce the calculation error of negative sequence voltages by at least 25% in unbalanced distribution systems.</t>
        </r>
      </text>
    </comment>
    <comment ref="AN2" authorId="0" shapeId="0" xr:uid="{9420C196-6366-4A45-943E-31905593FB68}">
      <text>
        <r>
          <rPr>
            <b/>
            <sz val="9"/>
            <color indexed="81"/>
            <rFont val="Tahoma"/>
            <charset val="1"/>
          </rPr>
          <t>pablo gallegos:</t>
        </r>
        <r>
          <rPr>
            <sz val="9"/>
            <color indexed="81"/>
            <rFont val="Tahoma"/>
            <charset val="1"/>
          </rPr>
          <t xml:space="preserve">
Distributed Energy Resources (DERs) can provide balancing services to the grid, but their power variations might cause voltage and current constraint violations in the distribution network, compromising network safety. This could be avoided by including network constraints within DER control formulations, but the entities coordinating DERs (e.g., aggregators) may not have access to network information, which typically is known only to the utility. Therefore, it is challenging to develop network-safe DER control algorithms when the aggregator is not the utility; it requires these entities to coordinate with each other. In this article, we develop an aggregator-utility coordination framework that enables network-safe control of thermostatically-controlled loads to provide frequency regulation. In our framework, the utility sends a network-safe constraint set on the aggregator's input without directly sharing any network information. We propose a constraint set construction algorithm that guarantees satisfaction of a chance constraint on network safety. Assuming monotonicity of the probability of network safety with respect to the aggregator's input, we leverage the bisection method to find the largest possible constraint set, providing maximum flexibility to the aggregator. Simulations show that, compared to two benchmark algorithms, the proposed approach provides a good balance between service quality and network safety.</t>
        </r>
      </text>
    </comment>
    <comment ref="AO2" authorId="0" shapeId="0" xr:uid="{7DE7DDD1-4578-4C21-BAED-D956CA88148B}">
      <text>
        <r>
          <rPr>
            <b/>
            <sz val="9"/>
            <color indexed="81"/>
            <rFont val="Tahoma"/>
            <charset val="1"/>
          </rPr>
          <t>pablo gallegos:</t>
        </r>
        <r>
          <rPr>
            <sz val="9"/>
            <color indexed="81"/>
            <rFont val="Tahoma"/>
            <charset val="1"/>
          </rPr>
          <t xml:space="preserve">
This industry-oriented article presents an overview and in-depth analysis of previous and current situations of power system frequency response and control in the Australian National Electricity Market (NEM) power system. It provides a comprehensive understanding of frequency support services in the NEM and their corresponding market and energy governance bodies and control mechanisms. The evaluation of different services and frequency control ancillary services (FCASs) provided by different electricity market players under the supervision of the Australian Energy Market Operator (AEMO) as an independent system operator provides lessons and an understanding of the current operation status with its real challenges and opportunities from frequency stability and security perspectives. Based on the evaluation of the current situation and future national planning, such as the integrated system plan (ISP), a number of research gaps and industrial technical issues are identified. The article also presents perspectives on future research directions to help the power system transformation toward almost 100% renewable-rich and more secure energy systems.</t>
        </r>
      </text>
    </comment>
    <comment ref="AP2" authorId="0" shapeId="0" xr:uid="{A6CC3CF0-A324-4F15-A72B-24CD0A380899}">
      <text>
        <r>
          <rPr>
            <b/>
            <sz val="9"/>
            <color indexed="81"/>
            <rFont val="Tahoma"/>
            <charset val="1"/>
          </rPr>
          <t>pablo gallegos:</t>
        </r>
        <r>
          <rPr>
            <sz val="9"/>
            <color indexed="81"/>
            <rFont val="Tahoma"/>
            <charset val="1"/>
          </rPr>
          <t xml:space="preserve">
The linearised DC loadflow is a fast way to calculate the load flow in transmission networks, and it is often performed by calculating the PTDF. However, until now changes in topology due to busbar splitting cannot be dealt with in an efficient way when using the PTDF. In this study, we introduce the Bus Split Distribution Factors (BSDF) which enable an efficient way to compute the effects of busbar splitting on the DC load flow. The derivation of the BSDF formulas is based on modelling the busbar coupler as a branch with vanishing reactance and by using transformed LODF formulas. In times of the energy transition the BSDF approach might be especially helpful since optimal grid topology control is still a largely unexploited form of flexibility for system operators due to the complex combinatorial nature of grid topology reconfiguration. With the BSDF approach much faster screening of topological remedial actions (including substation reconfigurations) in congestion management applications is possible.</t>
        </r>
      </text>
    </comment>
    <comment ref="AQ2" authorId="0" shapeId="0" xr:uid="{A703304B-90E9-462B-9EF7-70406A03C8E8}">
      <text>
        <r>
          <rPr>
            <b/>
            <sz val="9"/>
            <color indexed="81"/>
            <rFont val="Tahoma"/>
            <charset val="1"/>
          </rPr>
          <t>pablo gallegos:</t>
        </r>
        <r>
          <rPr>
            <sz val="9"/>
            <color indexed="81"/>
            <rFont val="Tahoma"/>
            <charset val="1"/>
          </rPr>
          <t xml:space="preserve">
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t>
        </r>
      </text>
    </comment>
    <comment ref="AR2" authorId="0" shapeId="0" xr:uid="{5B49387F-6F97-4DAA-9CF6-63BA25CF4989}">
      <text>
        <r>
          <rPr>
            <b/>
            <sz val="9"/>
            <color indexed="81"/>
            <rFont val="Tahoma"/>
            <charset val="1"/>
          </rPr>
          <t>pablo gallegos:</t>
        </r>
        <r>
          <rPr>
            <sz val="9"/>
            <color indexed="81"/>
            <rFont val="Tahoma"/>
            <charset val="1"/>
          </rPr>
          <t xml:space="preserve">
Machine learning (ML) algorithms have been widely developed to enable real-time security assessment for large-scale electricity grids. However, it also has been extensively recognized that the ML models are vulnerable to adversarial examples, which are slightly perturbed instances that can mislead the classifications but cannot be distinguished by human eyes. Considering the adversarial examples against the ML-based security assessment, they must not only cause misclassification but also follow the power balance and transfer limits and bypass the bad data detection. To this end, this paper proposes a novel concept named physics-constrained robustness that aims to computing a lower-bound of adversarial perturbations, evaluating the vulnerability of the ML-based intelligent security assessment (ISA) for power systems. A general optimization problem is formulated to compute the physics-constrained robustness of ISA with the mislabeling, power balance, power limitation, and invisible constraints. The analytical results and comparing relationship of ISA’s robustness with different constraints are provided. By using the static security assessment as an example, we provide explicit formulations to evaluate the physics-constrained robustness of. Finally, extensive experiments are conducted to evaluate the physics-constrained robustness of ISA in static and dynamic cases with the real-world load profiles from New York State and provide suggestions to select the ML models and parameters.</t>
        </r>
      </text>
    </comment>
    <comment ref="AS2" authorId="0" shapeId="0" xr:uid="{3EE01CE5-3732-4B9A-9016-C5C2963CC9D6}">
      <text>
        <r>
          <rPr>
            <b/>
            <sz val="9"/>
            <color indexed="81"/>
            <rFont val="Tahoma"/>
            <charset val="1"/>
          </rPr>
          <t>pablo gallegos:</t>
        </r>
        <r>
          <rPr>
            <sz val="9"/>
            <color indexed="81"/>
            <rFont val="Tahoma"/>
            <charset val="1"/>
          </rPr>
          <t xml:space="preserve">
With the increasing penetration of inverter-interfaced photovoltaic (PV) systems in AC microgrids, the system inertia is increasingly deficient and the frequency response ancillary service provided by PV systems will be inevitable. In this paper, in order to make the PV systems provide multi-time scale frequency response, a novel distributed event-triggered hierarchical control (DEHC) of PV inverters is proposed, which includes a primary frequency response (PFR) control loop and a secondary frequency response (SFR) control loop. For the PFR, the PV inverters that operate in frequency regulation (FR) mode can arrest the frequency deviation in sub-seconds time-scale by an automatic deloading strategy, which is with low cost and easy to implement as no requirements for a storage system, irradiance sensors, and MPP estimators. For the SFR, the PV inverters that operate in FR mode can respond to the reference instruction assigned by a high-level AGC control center in seconds time-scale based on a novel distributed control strategy, which can converge within a fixed-time that independents to the initial conditions of the system. Furthermore, a novel event-triggered mechanism is designed to reduce the communication costs between PV inverters. Finally, case study results verify the effectiveness and improved performance of the proposed method.</t>
        </r>
      </text>
    </comment>
    <comment ref="AT2" authorId="0" shapeId="0" xr:uid="{8F0E1D6A-35D9-46D3-89B5-E563D8EE2079}">
      <text>
        <r>
          <rPr>
            <b/>
            <sz val="9"/>
            <color indexed="81"/>
            <rFont val="Tahoma"/>
            <charset val="1"/>
          </rPr>
          <t>pablo gallegos:</t>
        </r>
        <r>
          <rPr>
            <sz val="9"/>
            <color indexed="81"/>
            <rFont val="Tahoma"/>
            <charset val="1"/>
          </rPr>
          <t xml:space="preserve">
With the increasing penetration rate of renewable energy power generation (RPG) in power system, improving the frequency regulation ability of RPG has become a general trend. The premise of effective participation of RPG in primary frequency regulation (PFR) is to reasonably design the power distribution scheme for RPG devices. In order to effectively evaluate the frequency support capability of wind power generation system, the system frequency response (SFR) model under the joint action of synchronous generators, wind farms (WF) and low frequency load shedding device is established in this paper. According to the time-domain solution of this mathematical model, the influence of the output power of the WF on SFR is mathematically explained. At the same time, the influence of time delay on SFR is further demonstrated. In order to maximize the release of the rotor kinetic energy of the wind turbine and ensure the safe operation of the wind turbine when designing the power distribution scheme, an accurate prediction method of wind turbine rotor speed based on piecewise fitting and Bernoulli equation is proposed. Based on the established SFR model and rotor speed prediction method, a two-stage power distribution scheme for multiple WFs during PFR is proposed, which comprehensively considers the SFR requirements and different power output capabilities of multiple WFs. The effectiveness and superiority of the proposed power distribution scheme are validated with revised IEEE 39-bus test system and revised PG&amp;E 69-bus test system.</t>
        </r>
      </text>
    </comment>
    <comment ref="AU2" authorId="0" shapeId="0" xr:uid="{C3C03592-6599-4FD0-8155-8D48F21C6DE6}">
      <text>
        <r>
          <rPr>
            <b/>
            <sz val="9"/>
            <color indexed="81"/>
            <rFont val="Tahoma"/>
            <charset val="1"/>
          </rPr>
          <t>pablo gallegos:</t>
        </r>
        <r>
          <rPr>
            <sz val="9"/>
            <color indexed="81"/>
            <rFont val="Tahoma"/>
            <charset val="1"/>
          </rPr>
          <t xml:space="preserve">
The growing renewable integration significantly enhances the seasonal electricity imbalance of the electric energy system. However, traditional power system planning methods usually take into account the hourly power balance within typical days but seldom consider the seasonal imbalance risk in the long-term timescale. Therefore, this paper proposes a generation-transmission-storage co-planning model considering the seasonal imbalance risk brought by the long-term uncertainty of renewable generation in the power system. The Conditional Value at Risk (CVaR) method is introduced to quantify the seasonal imbalance risk. The power system energy balance constraints are decoupled into short-term (i.e., hourly) and long-term (i.e., monthly) energy balance so that the operation of the power system can be considered within different timescales and the seasonal imbalance risk could be calculated. The validity of the proposed model is first investigated via a modified Garver's 6-bus system case study. Furthermore, the research on the HRP-38 system (HRP represents high renewable penetration) illustrates that our proposed model could effectively control the energy imbalance risk from multiple timescales. Finally, the proposed method is applied to the whole China power system at the province level, proving that the proposed planning method could effectively enhance the reliability of China's power system, decreasing both the average annual short-term and long-term energy imbalance by 30%.</t>
        </r>
      </text>
    </comment>
    <comment ref="AV2" authorId="0" shapeId="0" xr:uid="{3C74B612-978A-4F3A-9793-E50995204FFF}">
      <text>
        <r>
          <rPr>
            <b/>
            <sz val="9"/>
            <color indexed="81"/>
            <rFont val="Tahoma"/>
            <charset val="1"/>
          </rPr>
          <t>pablo gallegos:</t>
        </r>
        <r>
          <rPr>
            <sz val="9"/>
            <color indexed="81"/>
            <rFont val="Tahoma"/>
            <charset val="1"/>
          </rPr>
          <t xml:space="preserve">
Distributed Energy Resources (DERs) have valuable flexibility to provide grid services. The Aggregated Feasible Active Power Region (AFAPR) is useful for aggregating DERs and reducing the computational burden in system-wide DER scheduling. However, the uncertainty of DERs calls for a reliable AFAPR. This paper proposes a novel surrogate polytope method for deriving the inner approximation of the AFAPR that is jointly reliable for all DER constraints and linear network constraints across the scheduling period. Instead of directly applying the chance constraints to the low-level DER constraints and network constraints, the proposed method applies the Wasserstein Distributionally Robust Joint Chance Constraint (WDRJCC) to the surrogate polytope approximation of the AFAPR, which is reformulated into a tractable set of Mixed Integer Linear Programming (MILP) constraints. Our derived inner approximation to the reliable AFAPR is less conservative while still being reliable, as demonstrated by comparisons with four benchmarks in extensive case studies, and with the nonlinear Z-Bus power flow simulation applied to validate the satisfaction of network constraints. The historical data size required is small, making the proposed method easier to deploy. The scale of MILP constraints is small and does not increase with the network size nor with the number of DERs.</t>
        </r>
      </text>
    </comment>
    <comment ref="AW2" authorId="0" shapeId="0" xr:uid="{B6F496D3-7BE8-4223-8D30-EA969489168D}">
      <text>
        <r>
          <rPr>
            <b/>
            <sz val="9"/>
            <color indexed="81"/>
            <rFont val="Tahoma"/>
            <charset val="1"/>
          </rPr>
          <t>pablo gallegos:</t>
        </r>
        <r>
          <rPr>
            <sz val="9"/>
            <color indexed="81"/>
            <rFont val="Tahoma"/>
            <charset val="1"/>
          </rPr>
          <t xml:space="preserve">
The problem of maintaining power system stability and performance after the failure of any single line in a power system (an “$N-1$ contingency”) is investigated. Due to the large number of possible $N-1$ contingencies for a power network, it is impractical to optimize controller parameters for each possible contingency a priori. A method to partition a set of contingencies into groups of contingencies that are similar to each other from a control perspective is presented. Design of a single controller for each group, rather than for each contingency, provides a computationally tractable method for maintaining stability and performance after element failures. The choice of number of groups tunes a trade-off between computation time and controller performance for a given set of contingencies. Results are simulated on the IEEE 39-bus and 68-bus systems, illustrating that, with controllers designed for a relatively small number of groups, power system stability may be significantly improved after an $N-1$ contingency compared to continued use of the nominal controller. Furthermore, performance is comparable to that of controllers designed for each contingency individually.</t>
        </r>
      </text>
    </comment>
    <comment ref="AX2" authorId="0" shapeId="0" xr:uid="{61BF92D3-702E-41E4-BBE3-117F430605DB}">
      <text>
        <r>
          <rPr>
            <b/>
            <sz val="9"/>
            <color indexed="81"/>
            <rFont val="Tahoma"/>
            <charset val="1"/>
          </rPr>
          <t>pablo gallegos:</t>
        </r>
        <r>
          <rPr>
            <sz val="9"/>
            <color indexed="81"/>
            <rFont val="Tahoma"/>
            <charset val="1"/>
          </rPr>
          <t xml:space="preserve">
This article summarizes the three-year technical activities of the IEEE Task Force (TF) on behind-the-meter (BTM) distributed energy resources (DERs): estimation, uncertainty quantification, and control. The potential grid services from BTM DERs are discussed in detail. The paper also reviews the state-of-the-art for BTM DERs visibility, uncertainty quantification, and, optimization and control. Furthermore, different aspects of the market structures associated with BTM DERs are covered, including emerging market and business models. Finally, needs and recommendations are provided for additional areas such as system protection, computing capabilities, algorithm development, market structure design, cyberinfrastructure and security, and hardware and software developments.</t>
        </r>
      </text>
    </comment>
    <comment ref="AY2" authorId="0" shapeId="0" xr:uid="{217ADD23-98B5-49DB-A910-A9D21E9824AC}">
      <text>
        <r>
          <rPr>
            <b/>
            <sz val="9"/>
            <color indexed="81"/>
            <rFont val="Tahoma"/>
            <charset val="1"/>
          </rPr>
          <t>pablo gallegos:</t>
        </r>
        <r>
          <rPr>
            <sz val="9"/>
            <color indexed="81"/>
            <rFont val="Tahoma"/>
            <charset val="1"/>
          </rPr>
          <t xml:space="preserve">
Fast proliferation of distributed energy resources (DERs) and emergence of peer-to-peer (P2P) energy trading are introducing significant operation challenges to distribution networks. This paper designs a multi-timescale reactive power ancillary service trading framework in this context. The framework consists of a contract-based day-ahead Var reserve service trading stage and an hourly-ahead Var support service trading stage. At the day-ahead stage, the distribution system operator (DSO) signs a robust Var reserve contract with inverter-interfaced DERs which have sufficient Var capacity, and the problem is formulated as a two-stage robust optimization model considering uncertain nodal loads and hourly-ahead market behaviors. As an important advantage, the robust Var reserve contract eliminates the potential market power that the DERs may gain due to system configuration deficiency and market structure flaws at the later hourly-ahead trading stage. After uncertainty realization, at the hourly-ahead stage, DERs further provide the DSO with paid hourly-ahead Var supports using their spare Var capacity. The bilateral hourly-ahead Var trading between the DSO and DERs is modelled as a non-cooperative game. To attain a generalized Nash equilibrium (GNE) of the non-cooperative game, a distributed algorithm is developed by building the connection between the GNE and the primal-dual solution of a related social cost minimization problem. The proposed framework and methods are tested on three distribution systems of different scales.</t>
        </r>
      </text>
    </comment>
    <comment ref="AZ2" authorId="0" shapeId="0" xr:uid="{5DBB389A-38CD-4D90-A259-FBA644DDF9B5}">
      <text>
        <r>
          <rPr>
            <b/>
            <sz val="9"/>
            <color indexed="81"/>
            <rFont val="Tahoma"/>
            <charset val="1"/>
          </rPr>
          <t>pablo gallegos:</t>
        </r>
        <r>
          <rPr>
            <sz val="9"/>
            <color indexed="81"/>
            <rFont val="Tahoma"/>
            <charset val="1"/>
          </rPr>
          <t xml:space="preserve">
With large-scale distributed energy resources (DERs) being integrated into distribution networks (DNs), the coordinated optimal power flow (OPF) of high voltage (HV) and medium voltage (MV) DNs becomes challenging due to enhanced uncertainties and nonlinearity. This paper presents a hierarchical distributed chance-constrained OPF model for HV and MV DNs based on a nonlinear adaptive data-driven method. The HV master problem aims to minimize the overall operational costs, and is transformed into mixed-integer convex problem via second order cone programming. A model-free chance-constrained optimization sub-problem is established to tackle inaccurate model parameters issues and DER uncertainties in MV DNs and realize rapid response to control schemes from HV DN. The nonlinearity of power flow is approximately depicted by a data-driven incomplete dimension lifting power flow (IDL-PF) constraint, which is integrated into the MV DNs optimization model. A novel multi-parameter programming (MPP)-based distributed algorithm is proposed to solve the coordinated OPF model, which can significantly accelerate the iterative speed between the master and sub-problems. Finally, the convergence, efficiency and optimality of the proposed method are validated by numerous simulations in a practical DNs in China.</t>
        </r>
      </text>
    </comment>
    <comment ref="BA2" authorId="0" shapeId="0" xr:uid="{D6B2E492-C687-4EA0-95CC-6E576E4EDED9}">
      <text>
        <r>
          <rPr>
            <b/>
            <sz val="9"/>
            <color indexed="81"/>
            <rFont val="Tahoma"/>
            <charset val="1"/>
          </rPr>
          <t>pablo gallegos:</t>
        </r>
        <r>
          <rPr>
            <sz val="9"/>
            <color indexed="81"/>
            <rFont val="Tahoma"/>
            <charset val="1"/>
          </rPr>
          <t xml:space="preserve">
Enabling the integration of distributed energy resources (DERs) into the wholesale market, as prompted by the FERC Order 2222, introduces substantial operational complexities. To align with the current wholesale energy market practice, regional transmission organizations (RTOs) are pursuing the aggregation of transmission-node-level DERs (T-DERs), in which each T-DER is a projected representation of all DERs in the distribution network underneath the transmission node, such as a virtual power plant (VPP). This paper advances a real-time economic dispatch (RTED) framework to facilitate the aggregation of multiple T-DERs, optimizing their participation in energy market operations. We enhance the distribution factors (DFs) based modeling to capture the impact of individual T-DERs across the transmission network. Specifically, an innovative DF updating strategy is introduced in our methodology, incorporating a tailored K-Nearest Neighbors (KNN) predictor and a discrete PI corrector, along with transmission signals that sufficiently guarantee transmission constraints. These enhancements optimize the economic efficiency of the market clearing process, allowing numerous T-DERs to be involved in current energy market practices. The proposed method is tested on modified 24-bus and 118-bus systems via a rolling RTED process with real load data. The test results show that the proposed framework demonstrates marked improvements in minimizing system operation costs and satisfying the transmission network constraints.</t>
        </r>
      </text>
    </comment>
    <comment ref="BB2" authorId="0" shapeId="0" xr:uid="{1A84BBBC-1DBD-4640-B16C-4C31943339FE}">
      <text>
        <r>
          <rPr>
            <b/>
            <sz val="9"/>
            <color indexed="81"/>
            <rFont val="Tahoma"/>
            <charset val="1"/>
          </rPr>
          <t>pablo gallegos:</t>
        </r>
        <r>
          <rPr>
            <sz val="9"/>
            <color indexed="81"/>
            <rFont val="Tahoma"/>
            <charset val="1"/>
          </rPr>
          <t xml:space="preserve">
In this paper, a novel distributed integral controller is proposed for a power system with multiple synchronous generators (SGs) and inverter-interfaced distributed energy resources (DERs) that ensures grid frequency restoration, voltage regulation and accurate power sharing while satisfying technical/operational constraints for the real and reactive power imposed by the capability curve of each unit. By taking into account the generic nonlinear dynamic model of the entire power system and considering only neighbour-to-neighbour communication among SGs and DERs, the proposed controller is suitably designed to inherently guarantee the capability curve constraints using invariant set theory (Nagumo's theorem), without introducing saturation units that may lead to instability, as commonly used in the existing literature. Furthermore, closed-loop system stability is also investigated to prove convergence to the desired equilibrium point for different values of the controller gains. Finally, it is analytically shown that in the case where one or more SG or DER units are forced to reach their capability curve limits, due to abnormal conditions caused by sudden load changes, cyber attacks, measurement faults, etc., the remaining non-compromised units will automatically continue to accomplish the control tasks (frequency regulation, power sharing); thus enhancing the resilience of the entire power system. The effectiveness of the proposed controller is verified under 3 extreme scenarios (load change, setpoint attack, measurement fault) on an experimental setup using the Typhoon HIL real-time system for a 10-bus and a 14-bus power network, both with 4 SGs and 2 inverter-interfaced DERs and is directly compared to a conventional distributed integral controller.</t>
        </r>
      </text>
    </comment>
    <comment ref="BC2" authorId="0" shapeId="0" xr:uid="{0AE7BB1C-58A0-494A-A58A-F9BB2719B50D}">
      <text>
        <r>
          <rPr>
            <b/>
            <sz val="9"/>
            <color indexed="81"/>
            <rFont val="Tahoma"/>
            <charset val="1"/>
          </rPr>
          <t>pablo gallegos:</t>
        </r>
        <r>
          <rPr>
            <sz val="9"/>
            <color indexed="81"/>
            <rFont val="Tahoma"/>
            <charset val="1"/>
          </rPr>
          <t xml:space="preserve">
Frequency regulation support (FRS) from wind power plants (WPPs) is critical for enhancing the frequency stability of modern power systems. To preserve WPP FRS capabilities, it is essential to account for the frequency response dynamics of each wind turbine generator (WTG) in the WPP-level dispatch process. However, incorporating these dynamics into dispatch algorithms is complex due to the intricate WTG control strategies required for varying wind conditions. To overcome this challenge, this paper first examines detailed WTG dynamics models to capture key frequency response characteristics. A surrogate modeling approach is then proposed, providing an analytical model that accurately represents WTG FRS dynamics. Leveraging this surrogate model, a short-term WPP dispatch framework is developed, ensuring both precise dispatch command tracking and the preservation of FRS capabilities. Additionally, an efficient solving strategy is introduced to enhance the computational performance of the dispatch model. Case studies demonstrate the effectiveness and robustness of the proposed method, offering a significant advancement in integrating WPPs into frequency regulation frameworks.</t>
        </r>
      </text>
    </comment>
    <comment ref="BD2" authorId="0" shapeId="0" xr:uid="{25B33B6D-E399-46E5-906C-AD94F1130C97}">
      <text>
        <r>
          <rPr>
            <b/>
            <sz val="9"/>
            <color indexed="81"/>
            <rFont val="Tahoma"/>
            <charset val="1"/>
          </rPr>
          <t>pablo gallegos:</t>
        </r>
        <r>
          <rPr>
            <sz val="9"/>
            <color indexed="81"/>
            <rFont val="Tahoma"/>
            <charset val="1"/>
          </rPr>
          <t xml:space="preserve">
The Danish system operator, Energinet, has recently introduced an innovative grid code called the $\rm {P90 \ requirement}$, which allows stochastic flexible resources to bid their flexibility in Nordic ancillary service markets, contingent upon a minimum 90% probability of successfully realizing the reserve capacity bid. For limited-energy resources, Energinet imposes additional requirements for participation in these markets. Given these requirements, this paper presents a chance-constrained optimization model designed for aggregators of electric vehicles, aiming to optimally place reserve capacity bids in the Nordic Frequency Containment Reserve for Disturbances (FCR-D) market while accounting for uncertainty in future consumption baselines. We analyze both FCR-D up and down markets, reformulating and solving the proposed joint chance-constrained model using two sample-based methods. Using real data from 1400 charging stations in Denmark from March 2022 to March 2023, we demonstrate the out-of-sample profit potential. Our findings indicate that vehicle owners could save between 6% and 10% on their annual electricity bills by providing FCR-D services. Additionally, we observed a synergy effect, where having more vehicles in a single portfolio enables larger bids per vehicle compared to a collective bid from multiple portfolios with the same total number of vehicles.</t>
        </r>
      </text>
    </comment>
    <comment ref="BE2" authorId="0" shapeId="0" xr:uid="{5E75D3C0-B0D8-47E7-88A0-2E8358E114D0}">
      <text>
        <r>
          <rPr>
            <b/>
            <sz val="9"/>
            <color indexed="81"/>
            <rFont val="Tahoma"/>
            <charset val="1"/>
          </rPr>
          <t>pablo gallegos:</t>
        </r>
        <r>
          <rPr>
            <sz val="9"/>
            <color indexed="81"/>
            <rFont val="Tahoma"/>
            <charset val="1"/>
          </rPr>
          <t xml:space="preserve">
Power systems dominated by converter-interfaced distributed energy resources (DERs) typically exhibit weaker damping capabilities and lower inertia, compromising system stability. Although individual DER controllers are evolving to provide superior oscillation damping capabilities and inertia supports, there is a lack of network-wide coordinated management measures for multiple DERs, potentially leading to unexpected instability and cost-effectiveness problems. To address this gap, this paper introduces a hybrid oscillation damping and inertia management strategy for multiple DERs, considering network coupling effects, and seeks to encourage DERs to provide enhanced damping and inertia with appropriate economic incentives. We first formulate an optimization problem to tune and allocate damping and inertia coefficients for DERs, minimizing associated power and energy costs while ensuring hard constraints for system frequency stability and small-signal stability. The problem is built upon a novel convex parametric formulation that integrates oscillation mode location and frequency trajectory requirements, equipped with a theoretical guarantee, and eliminating the need for iterative tuning and computation burdens. Furthermore, to increase the willingness of DERs to cooperate, we further design appropriate economic incentives to compensate for DERs' costs based on the proposed cost minimization problem, and assess its impact on system cost-efficiency. Numerical tests highlight the effectiveness of the proposed method in promoting system stability and offer insights into potential economic benefits.</t>
        </r>
      </text>
    </comment>
    <comment ref="BF2" authorId="0" shapeId="0" xr:uid="{CD1AAD3D-662F-4C48-95C5-99B2B642BA8C}">
      <text>
        <r>
          <rPr>
            <b/>
            <sz val="9"/>
            <color indexed="81"/>
            <rFont val="Tahoma"/>
            <charset val="1"/>
          </rPr>
          <t>pablo gallegos:</t>
        </r>
        <r>
          <rPr>
            <sz val="9"/>
            <color indexed="81"/>
            <rFont val="Tahoma"/>
            <charset val="1"/>
          </rPr>
          <t xml:space="preserve">
Distributed energy resources (DERs) in distribution systems offer substantial flexibility potential for power system operations, necessitating effective quantification and optimization methods for their utilization. This paper presents a unified time-coupled flexibility cost quantification approach that aligns with time-coupled flexibility models of various types of DER, whether individual or aggregated. The superior capability in accurately capturing the user inconvenience costs compared to traditional power-range-based, time-decoupled methods is demonstrated, thereby enhancing user willingness to provide flexibility to support the power system operation. Based on the quantification method, a DSO optimization model that activates DER flexibility for energy arbitrage and ancillary services provision in the transmission system while maintaining the distribution system's security and economic efficiency, i.e., TSO-DSO coordination, is developed. The optimization model introduces the concept of marginal flexibility prices (MFPs), which quantify the marginal contribution of flexibility in TSO-DSO coordination. Using MFPs for revenue allocation, incentive compatibility, revenue adequacy, and the non-profit status of DSO are guaranteed, enabling the proposed flexibility provision framework to operate sustainably. Numerical tests on the IEEE test system verify the proposed methods.</t>
        </r>
      </text>
    </comment>
    <comment ref="BG2" authorId="0" shapeId="0" xr:uid="{91F043EA-B1A3-4606-94DC-B76AF2801C7B}">
      <text>
        <r>
          <rPr>
            <b/>
            <sz val="9"/>
            <color indexed="81"/>
            <rFont val="Tahoma"/>
            <charset val="1"/>
          </rPr>
          <t>pablo gallegos:</t>
        </r>
        <r>
          <rPr>
            <sz val="9"/>
            <color indexed="81"/>
            <rFont val="Tahoma"/>
            <charset val="1"/>
          </rPr>
          <t xml:space="preserve">
The virtual power plants (VPPs) formed by aggregating distributed energy resources on the demand side have high potential in frequency regulation of power systems. However, due to the complexity of real communication network, diverse communication issues, such as random packets loss and malicious cyber-attacks, may cause undesirable power dispatch and inaccurate dynamic control. This brings great challenges to the participation of VPPs in frequency regulation. To bypass these hurdles, we propose a cyber-physical integration design to facilitate VPPs frequency regulation in a real-time and reliable manner. First, we suggest a joint design scheme of VPPs power dispatch and communication resources allocation for packets loss under cloud-edge collaboration. That is, in the physical-layer, we propose the VPPs power dispatch under packets loss and in the cyber-layer, we develop the communication resources allocation strategy. This scheme aims to eliminate the packets loss impacts and thus determine accurate power dispatch. Second, we present a high reliable information transmission approach for preventing cyber-attacks under edge-end collaboration. Specifically, in the physical-layer, we implement dynamic control for responding to received regulation power and in the cyber-layer, we execute digital signcryption algorithm. Its objective is to improve system information transmission against cyber-attacks and thus ensure the accurate dynamic control. Finally, simulation results validate the feasibility and superiority of our proposed integration design.</t>
        </r>
      </text>
    </comment>
    <comment ref="BH2" authorId="0" shapeId="0" xr:uid="{F25E5CD2-48B7-456E-A333-5A6C4D08BB06}">
      <text>
        <r>
          <rPr>
            <b/>
            <sz val="9"/>
            <color indexed="81"/>
            <rFont val="Tahoma"/>
            <charset val="1"/>
          </rPr>
          <t>pablo gallegos:</t>
        </r>
        <r>
          <rPr>
            <sz val="9"/>
            <color indexed="81"/>
            <rFont val="Tahoma"/>
            <charset val="1"/>
          </rPr>
          <t xml:space="preserve">
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r>
      </text>
    </comment>
    <comment ref="BI2" authorId="0" shapeId="0" xr:uid="{CFC98019-8802-47F0-B74B-3DA86D9E331B}">
      <text>
        <r>
          <rPr>
            <b/>
            <sz val="9"/>
            <color indexed="81"/>
            <rFont val="Tahoma"/>
            <charset val="1"/>
          </rPr>
          <t>pablo gallegos:</t>
        </r>
        <r>
          <rPr>
            <sz val="9"/>
            <color indexed="81"/>
            <rFont val="Tahoma"/>
            <charset val="1"/>
          </rPr>
          <t xml:space="preserve">
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r>
      </text>
    </comment>
    <comment ref="BJ2" authorId="0" shapeId="0" xr:uid="{F8A1B9ED-5AD8-43C3-AB26-6296F2F3782A}">
      <text>
        <r>
          <rPr>
            <b/>
            <sz val="9"/>
            <color indexed="81"/>
            <rFont val="Tahoma"/>
            <charset val="1"/>
          </rPr>
          <t>pablo gallegos:</t>
        </r>
        <r>
          <rPr>
            <sz val="9"/>
            <color indexed="81"/>
            <rFont val="Tahoma"/>
            <charset val="1"/>
          </rPr>
          <t xml:space="preserve">
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r>
      </text>
    </comment>
    <comment ref="BK2" authorId="0" shapeId="0" xr:uid="{8C518881-D0B1-4EE3-A0DC-883FAA4FB9A6}">
      <text>
        <r>
          <rPr>
            <b/>
            <sz val="9"/>
            <color indexed="81"/>
            <rFont val="Tahoma"/>
            <charset val="1"/>
          </rPr>
          <t>pablo gallegos:</t>
        </r>
        <r>
          <rPr>
            <sz val="9"/>
            <color indexed="81"/>
            <rFont val="Tahoma"/>
            <charset val="1"/>
          </rPr>
          <t xml:space="preserve">
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r>
      </text>
    </comment>
    <comment ref="BL2" authorId="0" shapeId="0" xr:uid="{CA0C47FD-1005-4A24-B6BE-295282333606}">
      <text>
        <r>
          <rPr>
            <b/>
            <sz val="9"/>
            <color indexed="81"/>
            <rFont val="Tahoma"/>
            <charset val="1"/>
          </rPr>
          <t>pablo gallegos:</t>
        </r>
        <r>
          <rPr>
            <sz val="9"/>
            <color indexed="81"/>
            <rFont val="Tahoma"/>
            <charset val="1"/>
          </rPr>
          <t xml:space="preserve">
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r>
      </text>
    </comment>
    <comment ref="BM2" authorId="0" shapeId="0" xr:uid="{43D3C7BD-C1E5-4F73-8A48-76356EA3B4F3}">
      <text>
        <r>
          <rPr>
            <b/>
            <sz val="9"/>
            <color indexed="81"/>
            <rFont val="Tahoma"/>
            <charset val="1"/>
          </rPr>
          <t>pablo gallegos:</t>
        </r>
        <r>
          <rPr>
            <sz val="9"/>
            <color indexed="81"/>
            <rFont val="Tahoma"/>
            <charset val="1"/>
          </rPr>
          <t xml:space="preserve">
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r>
      </text>
    </comment>
    <comment ref="BN2" authorId="0" shapeId="0" xr:uid="{F0EA7760-00E2-4C2D-8F3A-1243F0A3F767}">
      <text>
        <r>
          <rPr>
            <b/>
            <sz val="9"/>
            <color indexed="81"/>
            <rFont val="Tahoma"/>
            <charset val="1"/>
          </rPr>
          <t>pablo gallegos:</t>
        </r>
        <r>
          <rPr>
            <sz val="9"/>
            <color indexed="81"/>
            <rFont val="Tahoma"/>
            <charset val="1"/>
          </rPr>
          <t xml:space="preserve">
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r>
      </text>
    </comment>
    <comment ref="BO2" authorId="0" shapeId="0" xr:uid="{639072CA-D083-40B0-AFB8-0FBBF13F17CD}">
      <text>
        <r>
          <rPr>
            <b/>
            <sz val="9"/>
            <color indexed="81"/>
            <rFont val="Tahoma"/>
            <charset val="1"/>
          </rPr>
          <t>pablo gallegos:</t>
        </r>
        <r>
          <rPr>
            <sz val="9"/>
            <color indexed="81"/>
            <rFont val="Tahoma"/>
            <charset val="1"/>
          </rPr>
          <t xml:space="preserve">
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r>
      </text>
    </comment>
    <comment ref="BP2" authorId="0" shapeId="0" xr:uid="{40124572-BA26-4AF2-88F7-64114BA02F90}">
      <text>
        <r>
          <rPr>
            <b/>
            <sz val="9"/>
            <color indexed="81"/>
            <rFont val="Tahoma"/>
            <charset val="1"/>
          </rPr>
          <t>pablo gallegos:</t>
        </r>
        <r>
          <rPr>
            <sz val="9"/>
            <color indexed="81"/>
            <rFont val="Tahoma"/>
            <charset val="1"/>
          </rPr>
          <t xml:space="preserve">
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r>
      </text>
    </comment>
    <comment ref="BQ2" authorId="0" shapeId="0" xr:uid="{2333F342-C65F-4980-BDE6-BE2D9CE9AB41}">
      <text>
        <r>
          <rPr>
            <b/>
            <sz val="9"/>
            <color indexed="81"/>
            <rFont val="Tahoma"/>
            <charset val="1"/>
          </rPr>
          <t>pablo gallegos:</t>
        </r>
        <r>
          <rPr>
            <sz val="9"/>
            <color indexed="81"/>
            <rFont val="Tahoma"/>
            <charset val="1"/>
          </rPr>
          <t xml:space="preserve">
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r>
      </text>
    </comment>
    <comment ref="BR2" authorId="0" shapeId="0" xr:uid="{AB7F247F-7E27-43F5-B634-0F9B96C72A3E}">
      <text>
        <r>
          <rPr>
            <b/>
            <sz val="9"/>
            <color indexed="81"/>
            <rFont val="Tahoma"/>
            <charset val="1"/>
          </rPr>
          <t>pablo gallegos:</t>
        </r>
        <r>
          <rPr>
            <sz val="9"/>
            <color indexed="81"/>
            <rFont val="Tahoma"/>
            <charset val="1"/>
          </rPr>
          <t xml:space="preserve">
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r>
      </text>
    </comment>
    <comment ref="BS2" authorId="0" shapeId="0" xr:uid="{025DBD7D-3AAE-4860-9F31-F5B20E8CA4FE}">
      <text>
        <r>
          <rPr>
            <b/>
            <sz val="9"/>
            <color indexed="81"/>
            <rFont val="Tahoma"/>
            <charset val="1"/>
          </rPr>
          <t>pablo gallegos:</t>
        </r>
        <r>
          <rPr>
            <sz val="9"/>
            <color indexed="81"/>
            <rFont val="Tahoma"/>
            <charset val="1"/>
          </rPr>
          <t xml:space="preserve">
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r>
      </text>
    </comment>
    <comment ref="BT2" authorId="0" shapeId="0" xr:uid="{F9D882A1-9D04-4C2B-8072-2007D352F47C}">
      <text>
        <r>
          <rPr>
            <b/>
            <sz val="9"/>
            <color indexed="81"/>
            <rFont val="Tahoma"/>
            <charset val="1"/>
          </rPr>
          <t>pablo gallegos:</t>
        </r>
        <r>
          <rPr>
            <sz val="9"/>
            <color indexed="81"/>
            <rFont val="Tahoma"/>
            <charset val="1"/>
          </rPr>
          <t xml:space="preserve">
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r>
      </text>
    </comment>
    <comment ref="BU2" authorId="0" shapeId="0" xr:uid="{4E454C88-2AA9-4827-B29A-BD20F97E69C6}">
      <text>
        <r>
          <rPr>
            <b/>
            <sz val="9"/>
            <color indexed="81"/>
            <rFont val="Tahoma"/>
            <charset val="1"/>
          </rPr>
          <t>pablo gallegos:</t>
        </r>
        <r>
          <rPr>
            <sz val="9"/>
            <color indexed="81"/>
            <rFont val="Tahoma"/>
            <charset val="1"/>
          </rPr>
          <t xml:space="preserve">
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r>
      </text>
    </comment>
    <comment ref="BV2" authorId="0" shapeId="0" xr:uid="{280F7DC2-3791-402B-9EB6-69C3FCED8985}">
      <text>
        <r>
          <rPr>
            <b/>
            <sz val="9"/>
            <color indexed="81"/>
            <rFont val="Tahoma"/>
            <charset val="1"/>
          </rPr>
          <t>pablo gallegos:</t>
        </r>
        <r>
          <rPr>
            <sz val="9"/>
            <color indexed="81"/>
            <rFont val="Tahoma"/>
            <charset val="1"/>
          </rPr>
          <t xml:space="preserve">
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r>
      </text>
    </comment>
    <comment ref="BW2" authorId="0" shapeId="0" xr:uid="{E1BE3263-8CCC-46F8-8449-E422077A3995}">
      <text>
        <r>
          <rPr>
            <b/>
            <sz val="9"/>
            <color indexed="81"/>
            <rFont val="Tahoma"/>
            <charset val="1"/>
          </rPr>
          <t>pablo gallegos:</t>
        </r>
        <r>
          <rPr>
            <sz val="9"/>
            <color indexed="81"/>
            <rFont val="Tahoma"/>
            <charset val="1"/>
          </rPr>
          <t xml:space="preserve">
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r>
      </text>
    </comment>
    <comment ref="BX2" authorId="0" shapeId="0" xr:uid="{FAB54192-A8CC-4F7E-8184-DC8CFFDD2471}">
      <text>
        <r>
          <rPr>
            <b/>
            <sz val="9"/>
            <color indexed="81"/>
            <rFont val="Tahoma"/>
            <charset val="1"/>
          </rPr>
          <t>pablo gallegos:</t>
        </r>
        <r>
          <rPr>
            <sz val="9"/>
            <color indexed="81"/>
            <rFont val="Tahoma"/>
            <charset val="1"/>
          </rPr>
          <t xml:space="preserve">
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r>
      </text>
    </comment>
    <comment ref="BY2" authorId="0" shapeId="0" xr:uid="{9A12FED9-B0A4-4D29-926C-7E75FE226C41}">
      <text>
        <r>
          <rPr>
            <b/>
            <sz val="9"/>
            <color indexed="81"/>
            <rFont val="Tahoma"/>
            <charset val="1"/>
          </rPr>
          <t>pablo gallegos:</t>
        </r>
        <r>
          <rPr>
            <sz val="9"/>
            <color indexed="81"/>
            <rFont val="Tahoma"/>
            <charset val="1"/>
          </rPr>
          <t xml:space="preserve">
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"New South Wales (NSW)", Australia. The numerical results show that, proposed method has achieved higher prediction accuracy compared to the existing work on long-term load forecasting.</t>
        </r>
      </text>
    </comment>
    <comment ref="BZ2" authorId="0" shapeId="0" xr:uid="{F4639FFD-0B20-43FC-9A23-7725B79CED7D}">
      <text>
        <r>
          <rPr>
            <b/>
            <sz val="9"/>
            <color indexed="81"/>
            <rFont val="Tahoma"/>
            <charset val="1"/>
          </rPr>
          <t>pablo gallegos:</t>
        </r>
        <r>
          <rPr>
            <sz val="9"/>
            <color indexed="81"/>
            <rFont val="Tahoma"/>
            <charset val="1"/>
          </rPr>
          <t xml:space="preserve">
Machine learning (ML) for transient stability assessment has gained traction due to the significant increase in computational requirements as renewables connect to power systems. To achieve a high degree of accuracy; black-box ML models are often required - inhibiting interpretation of predictions and consequently reducing confidence in the use of such methods. This paper proposes the use of SHapley Additive exPlanations (SHAP) - a unifying interpretability framework based on Shapley values from cooperative game theory -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r>
      </text>
    </comment>
    <comment ref="CA2" authorId="0" shapeId="0" xr:uid="{A2F4B332-A5BF-495B-90E4-00F3B4A5B1EF}">
      <text>
        <r>
          <rPr>
            <b/>
            <sz val="9"/>
            <color indexed="81"/>
            <rFont val="Tahoma"/>
            <charset val="1"/>
          </rPr>
          <t>pablo gallegos:</t>
        </r>
        <r>
          <rPr>
            <sz val="9"/>
            <color indexed="81"/>
            <rFont val="Tahoma"/>
            <charset val="1"/>
          </rPr>
          <t xml:space="preserve">
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r>
      </text>
    </comment>
    <comment ref="CB2" authorId="0" shapeId="0" xr:uid="{5634E091-C4C1-4250-8130-ABCE050C9CCB}">
      <text>
        <r>
          <rPr>
            <b/>
            <sz val="9"/>
            <color indexed="81"/>
            <rFont val="Tahoma"/>
            <charset val="1"/>
          </rPr>
          <t>pablo gallegos:</t>
        </r>
        <r>
          <rPr>
            <sz val="9"/>
            <color indexed="81"/>
            <rFont val="Tahoma"/>
            <charset val="1"/>
          </rPr>
          <t xml:space="preserve">
Converting renewable energy into ammonia has been recognized as a promising way to realize "green hydrogen substitution"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r>
      </text>
    </comment>
    <comment ref="CC2" authorId="0" shapeId="0" xr:uid="{4B6CCDF8-16AF-480E-BE76-FF3B25B1364C}">
      <text>
        <r>
          <rPr>
            <b/>
            <sz val="9"/>
            <color indexed="81"/>
            <rFont val="Tahoma"/>
            <charset val="1"/>
          </rPr>
          <t>pablo gallegos:</t>
        </r>
        <r>
          <rPr>
            <sz val="9"/>
            <color indexed="81"/>
            <rFont val="Tahoma"/>
            <charset val="1"/>
          </rPr>
          <t xml:space="preserve">
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 yet poorly scalable -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r>
      </text>
    </comment>
    <comment ref="CD2" authorId="0" shapeId="0" xr:uid="{86CCE273-2402-422F-B6BA-CFB7D855104B}">
      <text>
        <r>
          <rPr>
            <b/>
            <sz val="9"/>
            <color indexed="81"/>
            <rFont val="Tahoma"/>
            <charset val="1"/>
          </rPr>
          <t>pablo gallegos:</t>
        </r>
        <r>
          <rPr>
            <sz val="9"/>
            <color indexed="81"/>
            <rFont val="Tahoma"/>
            <charset val="1"/>
          </rPr>
          <t xml:space="preserve">
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r>
      </text>
    </comment>
    <comment ref="CE2" authorId="0" shapeId="0" xr:uid="{28081949-5A7B-4129-AEDB-51BFB90514F7}">
      <text>
        <r>
          <rPr>
            <b/>
            <sz val="9"/>
            <color indexed="81"/>
            <rFont val="Tahoma"/>
            <charset val="1"/>
          </rPr>
          <t>pablo gallegos:</t>
        </r>
        <r>
          <rPr>
            <sz val="9"/>
            <color indexed="81"/>
            <rFont val="Tahoma"/>
            <charset val="1"/>
          </rPr>
          <t xml:space="preserve">
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r>
      </text>
    </comment>
    <comment ref="CF2" authorId="0" shapeId="0" xr:uid="{1277E312-CAD5-4B05-8D27-BA79C2B6244A}">
      <text>
        <r>
          <rPr>
            <b/>
            <sz val="9"/>
            <color indexed="81"/>
            <rFont val="Tahoma"/>
            <charset val="1"/>
          </rPr>
          <t>pablo gallegos:</t>
        </r>
        <r>
          <rPr>
            <sz val="9"/>
            <color indexed="81"/>
            <rFont val="Tahoma"/>
            <charset val="1"/>
          </rPr>
          <t xml:space="preserve">
This paper proposes a data-driven graphical framework for the real-time search of risky cascading fault chains (FCs). While identifying risky FCs is pivotal to alleviating cascading failures, the complex spatio-temporal dependencies among the components of the power system render challenges to modeling and analyzing FCs. Furthermore, the real-time search of risky FCs faces an inherent combinatorial complexity that grows exponentially with the size of the system. The proposed framework leverages the recent advances in graph recurrent neural networks to circumvent the computational complexities of the real-time search of FCs. The search process is formalized as a partially observable Markov decision process (POMDP), which is subsequently solved via a time-varying graph recurrent neural network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GRNN. The proposed framework's efficiency is compared to the relevant literature on the IEEE 39-bus New England system and the IEEE 118-bus system.</t>
        </r>
      </text>
    </comment>
    <comment ref="CG2" authorId="0" shapeId="0" xr:uid="{72D4424C-FD86-4BC5-B841-A4D76FE864DB}">
      <text>
        <r>
          <rPr>
            <b/>
            <sz val="9"/>
            <color indexed="81"/>
            <rFont val="Tahoma"/>
            <charset val="1"/>
          </rPr>
          <t>pablo gallegos:</t>
        </r>
        <r>
          <rPr>
            <sz val="9"/>
            <color indexed="81"/>
            <rFont val="Tahoma"/>
            <charset val="1"/>
          </rPr>
          <t xml:space="preserve">
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vis-á-vis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r>
      </text>
    </comment>
    <comment ref="CH2" authorId="0" shapeId="0" xr:uid="{5581320E-0AF1-46FF-B605-83FF1B2ED0B9}">
      <text>
        <r>
          <rPr>
            <b/>
            <sz val="9"/>
            <color indexed="81"/>
            <rFont val="Tahoma"/>
            <charset val="1"/>
          </rPr>
          <t>pablo gallegos:</t>
        </r>
        <r>
          <rPr>
            <sz val="9"/>
            <color indexed="81"/>
            <rFont val="Tahoma"/>
            <charset val="1"/>
          </rPr>
          <t xml:space="preserve">
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r>
      </text>
    </comment>
    <comment ref="CI2" authorId="0" shapeId="0" xr:uid="{FE507923-27A6-4ECA-85A8-2D4939A74373}">
      <text>
        <r>
          <rPr>
            <b/>
            <sz val="9"/>
            <color indexed="81"/>
            <rFont val="Tahoma"/>
            <charset val="1"/>
          </rPr>
          <t>pablo gallegos:</t>
        </r>
        <r>
          <rPr>
            <sz val="9"/>
            <color indexed="81"/>
            <rFont val="Tahoma"/>
            <charset val="1"/>
          </rPr>
          <t xml:space="preserve">
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r>
      </text>
    </comment>
    <comment ref="CJ2" authorId="0" shapeId="0" xr:uid="{2DC636F1-E939-4BD5-BF5A-ABF7B808A594}">
      <text>
        <r>
          <rPr>
            <b/>
            <sz val="9"/>
            <color indexed="81"/>
            <rFont val="Tahoma"/>
            <charset val="1"/>
          </rPr>
          <t>pablo gallegos:</t>
        </r>
        <r>
          <rPr>
            <sz val="9"/>
            <color indexed="81"/>
            <rFont val="Tahoma"/>
            <charset val="1"/>
          </rPr>
          <t xml:space="preserve">
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r>
      </text>
    </comment>
    <comment ref="CK2" authorId="0" shapeId="0" xr:uid="{A65C0880-D529-44A5-93C4-283A285811BB}">
      <text>
        <r>
          <rPr>
            <b/>
            <sz val="9"/>
            <color indexed="81"/>
            <rFont val="Tahoma"/>
            <charset val="1"/>
          </rPr>
          <t>pablo gallegos:</t>
        </r>
        <r>
          <rPr>
            <sz val="9"/>
            <color indexed="81"/>
            <rFont val="Tahoma"/>
            <charset val="1"/>
          </rPr>
          <t xml:space="preserve">
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r>
      </text>
    </comment>
    <comment ref="CL2" authorId="0" shapeId="0" xr:uid="{B086A34E-3BBD-4337-8B9B-CC200A1AEAFE}">
      <text>
        <r>
          <rPr>
            <b/>
            <sz val="9"/>
            <color indexed="81"/>
            <rFont val="Tahoma"/>
            <charset val="1"/>
          </rPr>
          <t>pablo gallegos:</t>
        </r>
        <r>
          <rPr>
            <sz val="9"/>
            <color indexed="81"/>
            <rFont val="Tahoma"/>
            <charset val="1"/>
          </rPr>
          <t xml:space="preserve">
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r>
      </text>
    </comment>
    <comment ref="CM2" authorId="0" shapeId="0" xr:uid="{E7E00420-A34E-4DB2-8DB3-E43DBCD11AD7}">
      <text>
        <r>
          <rPr>
            <b/>
            <sz val="9"/>
            <color indexed="81"/>
            <rFont val="Tahoma"/>
            <charset val="1"/>
          </rPr>
          <t>pablo gallegos:</t>
        </r>
        <r>
          <rPr>
            <sz val="9"/>
            <color indexed="81"/>
            <rFont val="Tahoma"/>
            <charset val="1"/>
          </rPr>
          <t xml:space="preserve">
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r>
      </text>
    </comment>
    <comment ref="CN2" authorId="0" shapeId="0" xr:uid="{105E35BC-E5EA-4CA0-BEF0-9E2833ED60E7}">
      <text>
        <r>
          <rPr>
            <b/>
            <sz val="9"/>
            <color indexed="81"/>
            <rFont val="Tahoma"/>
            <charset val="1"/>
          </rPr>
          <t>pablo gallegos:</t>
        </r>
        <r>
          <rPr>
            <sz val="9"/>
            <color indexed="81"/>
            <rFont val="Tahoma"/>
            <charset val="1"/>
          </rPr>
          <t xml:space="preserve">
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r>
      </text>
    </comment>
    <comment ref="CO2" authorId="0" shapeId="0" xr:uid="{708B497D-98C4-4D3C-BDC8-DD9D5D592F30}">
      <text>
        <r>
          <rPr>
            <b/>
            <sz val="9"/>
            <color indexed="81"/>
            <rFont val="Tahoma"/>
            <charset val="1"/>
          </rPr>
          <t>pablo gallegos:</t>
        </r>
        <r>
          <rPr>
            <sz val="9"/>
            <color indexed="81"/>
            <rFont val="Tahoma"/>
            <charset val="1"/>
          </rPr>
          <t xml:space="preserve">
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r>
      </text>
    </comment>
    <comment ref="CP2" authorId="0" shapeId="0" xr:uid="{751D734E-DF5E-4478-AF51-4F9CC7D91E49}">
      <text>
        <r>
          <rPr>
            <b/>
            <sz val="9"/>
            <color indexed="81"/>
            <rFont val="Tahoma"/>
            <charset val="1"/>
          </rPr>
          <t>pablo gallegos:</t>
        </r>
        <r>
          <rPr>
            <sz val="9"/>
            <color indexed="81"/>
            <rFont val="Tahoma"/>
            <charset val="1"/>
          </rPr>
          <t xml:space="preserve">
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r>
      </text>
    </comment>
    <comment ref="CQ2" authorId="0" shapeId="0" xr:uid="{B858EB60-152F-4480-BD70-AB32CF96471C}">
      <text>
        <r>
          <rPr>
            <b/>
            <sz val="9"/>
            <color indexed="81"/>
            <rFont val="Tahoma"/>
            <charset val="1"/>
          </rPr>
          <t>pablo gallegos:</t>
        </r>
        <r>
          <rPr>
            <sz val="9"/>
            <color indexed="81"/>
            <rFont val="Tahoma"/>
            <charset val="1"/>
          </rPr>
          <t xml:space="preserve">
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H-infinity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r>
      </text>
    </comment>
    <comment ref="CR2" authorId="0" shapeId="0" xr:uid="{945B3FEA-ABEE-4411-BAA8-ABC8261EB8C4}">
      <text>
        <r>
          <rPr>
            <b/>
            <sz val="9"/>
            <color indexed="81"/>
            <rFont val="Tahoma"/>
            <charset val="1"/>
          </rPr>
          <t>pablo gallegos:</t>
        </r>
        <r>
          <rPr>
            <sz val="9"/>
            <color indexed="81"/>
            <rFont val="Tahoma"/>
            <charset val="1"/>
          </rPr>
          <t xml:space="preserve">
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r>
      </text>
    </comment>
    <comment ref="CS2" authorId="0" shapeId="0" xr:uid="{D5D72D26-C0ED-481A-A083-593BF77F9D51}">
      <text>
        <r>
          <rPr>
            <b/>
            <sz val="9"/>
            <color indexed="81"/>
            <rFont val="Tahoma"/>
            <charset val="1"/>
          </rPr>
          <t>pablo gallegos:</t>
        </r>
        <r>
          <rPr>
            <sz val="9"/>
            <color indexed="81"/>
            <rFont val="Tahoma"/>
            <charset val="1"/>
          </rPr>
          <t xml:space="preserve">
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r>
      </text>
    </comment>
    <comment ref="CT2" authorId="0" shapeId="0" xr:uid="{67E4714D-7DE2-4F7D-AA5E-48DBA4DA9475}">
      <text>
        <r>
          <rPr>
            <b/>
            <sz val="9"/>
            <color indexed="81"/>
            <rFont val="Tahoma"/>
            <charset val="1"/>
          </rPr>
          <t>pablo gallegos:</t>
        </r>
        <r>
          <rPr>
            <sz val="9"/>
            <color indexed="81"/>
            <rFont val="Tahoma"/>
            <charset val="1"/>
          </rPr>
          <t xml:space="preserve">
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r>
      </text>
    </comment>
    <comment ref="CU2" authorId="0" shapeId="0" xr:uid="{0F9D6569-512B-4ECE-9068-315046AD5125}">
      <text>
        <r>
          <rPr>
            <b/>
            <sz val="9"/>
            <color indexed="81"/>
            <rFont val="Tahoma"/>
            <charset val="1"/>
          </rPr>
          <t>pablo gallegos:</t>
        </r>
        <r>
          <rPr>
            <sz val="9"/>
            <color indexed="81"/>
            <rFont val="Tahoma"/>
            <charset val="1"/>
          </rPr>
          <t xml:space="preserve">
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r>
      </text>
    </comment>
    <comment ref="CV2" authorId="0" shapeId="0" xr:uid="{45B51BA3-20AE-48C8-AF43-7B6DBE0017A1}">
      <text>
        <r>
          <rPr>
            <b/>
            <sz val="9"/>
            <color indexed="81"/>
            <rFont val="Tahoma"/>
            <charset val="1"/>
          </rPr>
          <t>pablo gallegos:</t>
        </r>
        <r>
          <rPr>
            <sz val="9"/>
            <color indexed="81"/>
            <rFont val="Tahoma"/>
            <charset val="1"/>
          </rPr>
          <t xml:space="preserve">
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r>
      </text>
    </comment>
    <comment ref="CW2" authorId="0" shapeId="0" xr:uid="{9AB13ABD-78A0-4127-A406-FE97FCE4D054}">
      <text>
        <r>
          <rPr>
            <b/>
            <sz val="9"/>
            <color indexed="81"/>
            <rFont val="Tahoma"/>
            <charset val="1"/>
          </rPr>
          <t>pablo gallegos:</t>
        </r>
        <r>
          <rPr>
            <sz val="9"/>
            <color indexed="81"/>
            <rFont val="Tahoma"/>
            <charset val="1"/>
          </rPr>
          <t xml:space="preserve">
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r>
      </text>
    </comment>
    <comment ref="CX2" authorId="0" shapeId="0" xr:uid="{7932B195-52E8-4A5C-8C6C-C7BAA43E5199}">
      <text>
        <r>
          <rPr>
            <b/>
            <sz val="9"/>
            <color indexed="81"/>
            <rFont val="Tahoma"/>
            <charset val="1"/>
          </rPr>
          <t>pablo gallegos:</t>
        </r>
        <r>
          <rPr>
            <sz val="9"/>
            <color indexed="81"/>
            <rFont val="Tahoma"/>
            <charset val="1"/>
          </rPr>
          <t xml:space="preserve">
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r>
      </text>
    </comment>
    <comment ref="CY2" authorId="0" shapeId="0" xr:uid="{B7B2F162-7160-4B96-8F92-DB174F86C164}">
      <text>
        <r>
          <rPr>
            <b/>
            <sz val="9"/>
            <color indexed="81"/>
            <rFont val="Tahoma"/>
            <charset val="1"/>
          </rPr>
          <t>pablo gallegos:</t>
        </r>
        <r>
          <rPr>
            <sz val="9"/>
            <color indexed="81"/>
            <rFont val="Tahoma"/>
            <charset val="1"/>
          </rPr>
          <t xml:space="preserve">
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r>
      </text>
    </comment>
    <comment ref="CZ2" authorId="0" shapeId="0" xr:uid="{CCDF772D-32BA-4232-843D-93B726E8F36D}">
      <text>
        <r>
          <rPr>
            <b/>
            <sz val="9"/>
            <color indexed="81"/>
            <rFont val="Tahoma"/>
            <charset val="1"/>
          </rPr>
          <t>pablo gallegos:</t>
        </r>
        <r>
          <rPr>
            <sz val="9"/>
            <color indexed="81"/>
            <rFont val="Tahoma"/>
            <charset val="1"/>
          </rPr>
          <t xml:space="preserve">
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r>
      </text>
    </comment>
    <comment ref="DA2" authorId="0" shapeId="0" xr:uid="{5F4B6065-5AC6-4CE4-87DB-9B9CC75EBBBD}">
      <text>
        <r>
          <rPr>
            <b/>
            <sz val="9"/>
            <color indexed="81"/>
            <rFont val="Tahoma"/>
            <charset val="1"/>
          </rPr>
          <t>pablo gallegos:</t>
        </r>
        <r>
          <rPr>
            <sz val="9"/>
            <color indexed="81"/>
            <rFont val="Tahoma"/>
            <charset val="1"/>
          </rPr>
          <t xml:space="preserve">
Grids in near future are going to host synchronous generators (SGs), legacy grid-following converters (GFLCs), and relatively new grid-forming converters (GFCs), where the latter two technologies support converter-interfaced generations. This change is going to introduce new challenges -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r>
      </text>
    </comment>
    <comment ref="DB2" authorId="0" shapeId="0" xr:uid="{083F6A5A-0DB8-4B68-827A-0E75D2FCC01E}">
      <text>
        <r>
          <rPr>
            <b/>
            <sz val="9"/>
            <color indexed="81"/>
            <rFont val="Tahoma"/>
            <charset val="1"/>
          </rPr>
          <t>pablo gallegos:</t>
        </r>
        <r>
          <rPr>
            <sz val="9"/>
            <color indexed="81"/>
            <rFont val="Tahoma"/>
            <charset val="1"/>
          </rPr>
          <t xml:space="preserve">
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r>
      </text>
    </comment>
    <comment ref="DC2" authorId="0" shapeId="0" xr:uid="{7AB6AE18-5107-4E74-8B39-D4BA43FC8607}">
      <text>
        <r>
          <rPr>
            <b/>
            <sz val="9"/>
            <color indexed="81"/>
            <rFont val="Tahoma"/>
            <charset val="1"/>
          </rPr>
          <t>pablo gallegos:</t>
        </r>
        <r>
          <rPr>
            <sz val="9"/>
            <color indexed="81"/>
            <rFont val="Tahoma"/>
            <charset val="1"/>
          </rPr>
          <t xml:space="preserve">
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r>
      </text>
    </comment>
    <comment ref="DD2" authorId="0" shapeId="0" xr:uid="{BB0F9C9F-7FB0-48E8-A2AB-F57919D13E6A}">
      <text>
        <r>
          <rPr>
            <b/>
            <sz val="9"/>
            <color indexed="81"/>
            <rFont val="Tahoma"/>
            <charset val="1"/>
          </rPr>
          <t>pablo gallegos:</t>
        </r>
        <r>
          <rPr>
            <sz val="9"/>
            <color indexed="81"/>
            <rFont val="Tahoma"/>
            <charset val="1"/>
          </rPr>
          <t xml:space="preserve">
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r>
      </text>
    </comment>
    <comment ref="DE2" authorId="0" shapeId="0" xr:uid="{65D15A73-BB8A-42B5-8AAB-618A67318EF4}">
      <text>
        <r>
          <rPr>
            <b/>
            <sz val="9"/>
            <color indexed="81"/>
            <rFont val="Tahoma"/>
            <charset val="1"/>
          </rPr>
          <t>pablo gallegos:</t>
        </r>
        <r>
          <rPr>
            <sz val="9"/>
            <color indexed="81"/>
            <rFont val="Tahoma"/>
            <charset val="1"/>
          </rPr>
          <t xml:space="preserve">
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71 kW PV generating system through simulation.</t>
        </r>
      </text>
    </comment>
    <comment ref="D3" authorId="0" shapeId="0" xr:uid="{68049534-13C1-42FF-9F44-899140CA1F8C}">
      <text>
        <r>
          <rPr>
            <b/>
            <sz val="9"/>
            <color indexed="81"/>
            <rFont val="Tahoma"/>
            <family val="2"/>
          </rPr>
          <t>pablo gallegos:</t>
        </r>
        <r>
          <rPr>
            <sz val="9"/>
            <color indexed="81"/>
            <rFont val="Tahoma"/>
            <family val="2"/>
          </rPr>
          <t xml:space="preserve">
Select the main program for each abstract from the dropdown in row 3.</t>
        </r>
      </text>
    </comment>
    <comment ref="DK5" authorId="0" shapeId="0" xr:uid="{E5FB327D-8068-42C5-9115-E2C3FD2ED71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6" authorId="0" shapeId="0" xr:uid="{5B215F94-6FCB-4814-8A5D-7C11F6C97F39}">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7" authorId="0" shapeId="0" xr:uid="{2A2A2C13-D730-49B5-A844-63A485B5A4EA}">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8" authorId="0" shapeId="0" xr:uid="{862D2A23-CAC3-4A92-897C-B5DD76AD3A4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9" authorId="0" shapeId="0" xr:uid="{437ED113-CA49-4528-9DA8-B38EC3070E4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0" authorId="0" shapeId="0" xr:uid="{CCDC41E7-A5BE-4F89-B21C-3B2FC6FAD986}">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1" authorId="0" shapeId="0" xr:uid="{347D2650-0F36-4551-9D50-777B7C7EFF9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2" authorId="0" shapeId="0" xr:uid="{5D184864-F08C-483F-B24D-C8590D05AF7E}">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3" authorId="0" shapeId="0" xr:uid="{7E9EDEC9-F0E2-4AC4-A433-A22C8DFE3F80}">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4" authorId="0" shapeId="0" xr:uid="{7487B488-56B7-4BDF-A1A5-8DD84A6CCCD0}">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5" authorId="0" shapeId="0" xr:uid="{8B9FDC31-2218-4AD7-8CEC-8DB1A55A7E98}">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6" authorId="0" shapeId="0" xr:uid="{4BBB1BB0-D683-410C-8437-249141611AEE}">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7" authorId="0" shapeId="0" xr:uid="{5B03A505-BEA8-4F3A-BEE5-9C09423378A6}">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8" authorId="0" shapeId="0" xr:uid="{E84C7030-B64C-49EE-A69E-6BECEA66CB94}">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9" authorId="0" shapeId="0" xr:uid="{93C4578A-F62F-4786-B475-C60857AF8770}">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0" authorId="0" shapeId="0" xr:uid="{44C0933A-CFCF-4776-A989-32E02DF1492B}">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1" authorId="0" shapeId="0" xr:uid="{7F008C16-236B-4E62-B67F-2FD7361460A2}">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2" authorId="0" shapeId="0" xr:uid="{B00B3C41-C03B-44BF-A101-5E3C5D5EBCB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3" authorId="0" shapeId="0" xr:uid="{A22D1762-99E3-4BBE-BE4C-EACC2D6D4E8C}">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4" authorId="0" shapeId="0" xr:uid="{52476FAB-304B-42DB-9384-41DAD5701B5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5" authorId="0" shapeId="0" xr:uid="{663B2977-E3C9-4025-A2CB-EADCA662237E}">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6" authorId="0" shapeId="0" xr:uid="{944AF192-E4CF-4C85-AAD3-CF40E4F8D965}">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7" authorId="0" shapeId="0" xr:uid="{2971098E-736F-48FB-BF0A-6C93BDA9DCC5}">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8" authorId="0" shapeId="0" xr:uid="{C645B0A4-C02A-4E3D-A6AC-371DE3BEDEA9}">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9" authorId="0" shapeId="0" xr:uid="{917C70A7-0A8B-4590-BE7C-629E61646540}">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0" authorId="0" shapeId="0" xr:uid="{F37B5F85-D3AC-4748-BEBC-88296D83F007}">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1" authorId="0" shapeId="0" xr:uid="{DC4D3F90-431E-4AD6-8953-36BB6EDCB59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2" authorId="0" shapeId="0" xr:uid="{46BF3AE3-CF5A-4A5F-A45D-557382FED40C}">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3" authorId="0" shapeId="0" xr:uid="{C2DBAD6B-A67E-423C-A504-96A25A79F0D9}">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4" authorId="0" shapeId="0" xr:uid="{47F5B8AA-B07B-4022-84A4-1E964A49CF87}">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5" authorId="0" shapeId="0" xr:uid="{BAA54FA2-5154-44C7-9C2E-828485FFCABC}">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6" authorId="0" shapeId="0" xr:uid="{CFD79F33-0F68-4B20-9370-E77E9F71C8F4}">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7" authorId="0" shapeId="0" xr:uid="{1C1BCFAA-DA9A-44CA-9812-4E38436AA5FB}">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8" authorId="0" shapeId="0" xr:uid="{2CD87EC0-38B8-46BA-B0CA-D875C06F348B}">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9" authorId="0" shapeId="0" xr:uid="{BBF3377C-A8C2-4AA5-8E10-57B608048464}">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0" authorId="0" shapeId="0" xr:uid="{0B343119-D323-4567-8CC1-DBADFCEC52FB}">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1" authorId="0" shapeId="0" xr:uid="{5D6FBA17-D831-486D-A0A5-66870E5CD756}">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2" authorId="0" shapeId="0" xr:uid="{AAFE8668-45C1-4DC9-B9B9-8AFA16A6EBD9}">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3" authorId="0" shapeId="0" xr:uid="{4AD15F36-5612-44E1-89B8-3FCE728E98D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4" authorId="0" shapeId="0" xr:uid="{674D699B-0E7A-49A4-97B0-9CC4986B1C8E}">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5" authorId="0" shapeId="0" xr:uid="{DED699F6-1D04-4448-BF11-D7334DD91028}">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6" authorId="0" shapeId="0" xr:uid="{E210250A-F0BA-4DEF-977D-26A1789D6710}">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7" authorId="0" shapeId="0" xr:uid="{89964AB4-5BC9-40E8-ABAE-09CE7DF56136}">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8" authorId="0" shapeId="0" xr:uid="{794567D8-5663-4877-860C-A7C6905666F4}">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9" authorId="0" shapeId="0" xr:uid="{431DB837-7DC9-4015-A413-5D711254CED9}">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50" authorId="0" shapeId="0" xr:uid="{B094F22B-2AE6-421A-B483-42B36923B70F}">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51" authorId="0" shapeId="0" xr:uid="{EDFF1B35-9FAD-4AB9-BCDD-C492E3650E8C}">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52" authorId="0" shapeId="0" xr:uid="{A991B6D5-39FE-4FF7-8094-EA5CE703BCD9}">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List>
</comments>
</file>

<file path=xl/sharedStrings.xml><?xml version="1.0" encoding="utf-8"?>
<sst xmlns="http://schemas.openxmlformats.org/spreadsheetml/2006/main" count="722" uniqueCount="407">
  <si>
    <t>Instructions:
1) Edit blue/green cells only. All other cells (questions, titles, lookups) are reference data — please do not change them.
2) Work in the 'Evaluation Matrix' sheet. Each abstract is one column, with its index in row 1 and title in row 2. Hover over a title cell to read the full abstract (also available on the 'Abstracts' sheet).
3) Row 3: Identify the main program associated with each abstract and select it from the dropdown menu (IBR, Stability, DER System Services, DER C&amp;C, CROF, System Services, Planning, Other).
      After the program is selected, research questions will be highlighted in green to guide identification of questions related to that program.
4) Scoring: for each relevant research question, enter an affinity score (integer 0–5, per the scale below).
     Research questions outside the selected program may also be relevant—and this is expected in many cases. You can/should rate other questions based on your own judgement.
Affinity Scale:
Low
  ∎ 0: No conceptual overlap. The abstract addresses a completely different topic, phenomenon or research domain. There are no shared concepts, methods, or outcomes. Any superficial keyword match is coincidental. The abstract would not appear in a literature review for this question under any reasonable interpretation.
  ∎ 1: Marginal overlap. One or two terms or concepts are shared but the abstract investigates a fundamentally different question. The research domain may be adjacent but the objectives, topic, or outcomes are misaligned. Findings from this abstract could not be used to inform an answer to the question even partially. A reader would not cite this abstract as background for the question.
Moderate
  ∎ 2: Contextual overlap. The abstract shares the general domain and studies a related concept or phenomenon, but targets a different outcome, phenomenon, or objective. The abstract provides useful background or framing but cannot directly answer the question. A reader might cite it to establish context but not as evidence.
  ∎ 3: Partial evidence. The abstract addresses the same research objective as the question but in a different area, context, or with a different methodological framework. Findings are relevant but require adaptation or extrapolation to apply to the question. A reader would cite this abstract as indirect or supporting evidence, not as a primary source.
High
  ∎ 4: Direct relevance. The abstract addresses the same question, phenomenon, and outcome. Minor differences in methodology, setting, or scope exist but do not prevent the findings from being directly applicable. A reader would cite this abstract as substantive evidence for answering the question.
  ∎ 5: Near-perfect match. The abstract is a primary source for the question. It addresses the same research question, phenomenon, outcome, and context. Its findings can be applied directly, without adaptation, to answer the question. A reader would cite this abstract as primary evidence.</t>
  </si>
  <si>
    <t>Programs</t>
  </si>
  <si>
    <r>
      <rPr>
        <b/>
        <sz val="11"/>
        <color theme="1"/>
        <rFont val="Calibri"/>
        <family val="2"/>
        <scheme val="minor"/>
      </rPr>
      <t>IBR</t>
    </r>
    <r>
      <rPr>
        <sz val="11"/>
        <color theme="1"/>
        <rFont val="Calibri"/>
        <family val="2"/>
        <scheme val="minor"/>
      </rPr>
      <t xml:space="preserve">: This research area focuses on the fundamental transformation of power systems as they transition from being dominated by synchronous machines to being dominated by power electronic interfaces. Research within this pillar encompasses the development of advanced control capabilities, services, and design methodologies specifically for IBRs, such as wind, solar, and battery energy storage. A primary focus is the shift from Grid-Following (GFL) to Grid-Forming (GFM) technologies, investigating how inverters can provide essential reliability services like voltage and frequency support, inertia-like responses, and system strength. It includes the study of IBR protection schemes, electromagnetic transient (EMT) modeling for high-fidelity representation, and the development of international standards (such as IEEE 2800) to ensure interoperability and performance. Furthermore, it addresses the role of IBRs in system restoration and black-start procedures, examining how decentralized resources can re-energize the grid following a total or partial shutdown.
</t>
    </r>
  </si>
  <si>
    <r>
      <rPr>
        <b/>
        <sz val="11"/>
        <color theme="1"/>
        <rFont val="Calibri"/>
        <family val="2"/>
        <scheme val="minor"/>
      </rPr>
      <t>Stabilty</t>
    </r>
    <r>
      <rPr>
        <sz val="11"/>
        <color theme="1"/>
        <rFont val="Calibri"/>
        <family val="2"/>
        <scheme val="minor"/>
      </rPr>
      <t xml:space="preserve">: The stability pillar addresses the evolving physics of the grid caused by the reduction of mechanical inertia and the emergence of fast-acting power electronics. This area covers the development of new analytical tools, monitoring systems, and control methods required to ensure the reliability and security of power systems operating with very high shares of variable renewable energy (VRE). Key research topics include converter-driven stability (e.g., sub-synchronous oscillations and harmonic instabilities), small-signal and transient stability in low-inertia environments, and the development of fast frequency response (FFR) mechanisms. It also explores the necessity of moving beyond traditional Root Mean Square (RMS) simulations toward wide-scale EMT modeling to capture fast-acting dynamics. Research here aims to define new stability limits, create automated oscillation detection algorithms, and design robust control strategies that can prevent cascading failures in highly volatile, non-linear system conditions.
</t>
    </r>
  </si>
  <si>
    <r>
      <rPr>
        <b/>
        <sz val="11"/>
        <color theme="1"/>
        <rFont val="Calibri"/>
        <family val="2"/>
        <scheme val="minor"/>
      </rPr>
      <t>DER</t>
    </r>
    <r>
      <rPr>
        <sz val="11"/>
        <color theme="1"/>
        <rFont val="Calibri"/>
        <family val="2"/>
        <scheme val="minor"/>
      </rPr>
      <t xml:space="preserve">: This area examines the integration and orchestration of distribution-level resources including rooftop solar, electric vehicles (EVs), behind-the-meter storage, microgrids, and demand-side management as active assets for the bulk power system. The focus is on the 'Transmission-Distribution (T-D) Interface,' seeking to optimize how these millions of decentralized devices can be aggregated into Virtual Power Plants (VPPs) to provide flexibility and reliability services. Research includes the development of communication protocols, localized markets for DER flexibility, and advanced DER Management Systems (DERMS). It also covers technical challenges such as bi-directional power flows, local voltage regulation, and the stability of islanded grids or DC microgrids. The goal is to transform DERs from passive, 'invisible' loads into controllable, transparent resources that support the overall resilience and decarbonization of the integrated energy system.
</t>
    </r>
  </si>
  <si>
    <r>
      <rPr>
        <b/>
        <sz val="11"/>
        <color theme="1"/>
        <rFont val="Calibri"/>
        <family val="2"/>
        <scheme val="minor"/>
      </rPr>
      <t>CROF</t>
    </r>
    <r>
      <rPr>
        <sz val="11"/>
        <color theme="1"/>
        <rFont val="Calibri"/>
        <family val="2"/>
        <scheme val="minor"/>
      </rPr>
      <t xml:space="preserve">: This pillar focuses on the evolution of the power system operator's environment to handle the exponential increase in data and complexity. Research explores the development of new visualization techniques, AI-assisted decision support systems, and automated analysis tools designed to enhance real-time situational awareness. It addresses the challenge of 'alarm fatigue' by using machine learning to prioritize critical information and filter noise. Key concepts include Modular Control Center Systems (MCCS), which allow for more flexible and scalable software architectures, and the integration of wide-area monitoring systems (WAMS) using phasor measurement unit (PMU) data. Additionally, this area investigates the human-machine interface (HMI), digital twins for real-time contingency analysis, and the cybersecurity of operational technology (OT) to ensure that control rooms remain resilient against both physical and cyber threats in a more decentralized grid.
</t>
    </r>
  </si>
  <si>
    <r>
      <rPr>
        <b/>
        <sz val="11"/>
        <color theme="1"/>
        <rFont val="Calibri"/>
        <family val="2"/>
        <scheme val="minor"/>
      </rPr>
      <t>System Services</t>
    </r>
    <r>
      <rPr>
        <sz val="11"/>
        <color theme="1"/>
        <rFont val="Calibri"/>
        <family val="2"/>
        <scheme val="minor"/>
      </rPr>
      <t xml:space="preserve">: This research area is dedicated to quantifying, defining, and procuring the technical ancillary services necessary to maintain a reliable supply-demand balance in a carbon-free future. As traditional 'free' ancillary services provided by synchronous generators (like inertia and short-circuit current) disappear, this pillar seeks to create market mechanisms and technical requirements for new types of system services. This includes investigating ramping services for managing VRE variability, advanced frequency regulation, voltage control, and black-start capabilities. Research focuses on the techno-economic design of 'service-based' markets, ensuring that the procurement of these services is both cost-effective and technologically neutral. It also looks at how to define 'resource adequacy' in systems where the marginal cost of energy is near zero, and how to incentivize the long-term investment in the flexible assets needed to ensure grid reliability at all times.
</t>
    </r>
  </si>
  <si>
    <r>
      <rPr>
        <b/>
        <sz val="11"/>
        <color theme="1"/>
        <rFont val="Calibri"/>
        <family val="2"/>
        <scheme val="minor"/>
      </rPr>
      <t>Planning</t>
    </r>
    <r>
      <rPr>
        <sz val="11"/>
        <color theme="1"/>
        <rFont val="Calibri"/>
        <family val="2"/>
        <scheme val="minor"/>
      </rPr>
      <t>: The planning pillar addresses the need for new metrics, methods, and tools to design the power systems of the future. Traditional planning processes often fail to capture the high degree of uncertainty and the complex interactions of a changing resource mix. Expanded research in this area includes integrated transmission and distribution planning, multi-sector coupling (e.g., power-to-gas, heating, and transport), and planning for extreme weather resilience under climate change scenarios. It explores the use of large-scale, high-resolution datasets and probabilistic modeling to replace deterministic 'worst-case' scenarios. Focus is also placed on the expansion of transmission infrastructure to connect remote renewable zones to load centers, the role of long-duration energy storage in seasonal balancing, and the development of new metrics for evaluating system strength and adequacy that go beyond simple capacity margins.</t>
    </r>
  </si>
  <si>
    <t>Source_Index</t>
  </si>
  <si>
    <t>Document Title</t>
  </si>
  <si>
    <t>Abstract</t>
  </si>
  <si>
    <t>10.1109/TPWRS.2023.3292799</t>
  </si>
  <si>
    <t>Optimal Primary Frequency Reserve Provision by an Aggregator Considering Nonlinear Unit Dynamics</t>
  </si>
  <si>
    <t>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</si>
  <si>
    <t>10.1109/TPWRS.2023.3242715</t>
  </si>
  <si>
    <t>Graph Learning-Based Voltage Regulation in Distribution Networks With Multi-Microgrids</t>
  </si>
  <si>
    <t>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</si>
  <si>
    <t>10.1109/TPWRS.2023.3277009</t>
  </si>
  <si>
    <t>Adaptive Frequency Droop Feedback Control-Based Power Tracking Operation of a DFIG for Temporary Frequency Regulation</t>
  </si>
  <si>
    <t>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</si>
  <si>
    <t>10.1109/TPWRS.2023.3244668</t>
  </si>
  <si>
    <t>Achieving Emission-Reduction Goals: Multi-Period Power-System Expansion Under Short-Term Operational Uncertainty</t>
  </si>
  <si>
    <t>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</si>
  <si>
    <t>10.1109/TPWRS.2023.3261222</t>
  </si>
  <si>
    <t>Adaptive Load Shedding as Part of Primary Frequency Response To Support Networked Microgrid Operations</t>
  </si>
  <si>
    <t>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</si>
  <si>
    <t>10.1109/TPWRS.2023.3238846</t>
  </si>
  <si>
    <t>Risk-Based Hosting Capacity Analysis in Distribution Systems</t>
  </si>
  <si>
    <t>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</si>
  <si>
    <t>10.1109/TPWRS.2023.3244967</t>
  </si>
  <si>
    <t>Distributed Unified Controller Design for Parallel Battery Storage System in DC Shipboard Microgrid</t>
  </si>
  <si>
    <t>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</si>
  <si>
    <t>10.1109/TPWRS.2023.3266956</t>
  </si>
  <si>
    <t>Learning Power Grid Outages With Higher-Order Topological Neural Networks</t>
  </si>
  <si>
    <t>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(i.e., (i) with sensors placed at all the buses alone in the networks and (ii) with partial observability in the networks) indicate that HOT-Nets substantially outperforms 9 state-of-the-art methods, yielding relative gains of up to 14.04% in terms of system resilience classification.</t>
  </si>
  <si>
    <t>10.1109/TPWRS.2023.3257033</t>
  </si>
  <si>
    <t>Non-Iterative Solution for Coordinated Optimal Dispatch via Equivalent Projection-Part II: Method and Applications</t>
  </si>
  <si>
    <t>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</si>
  <si>
    <t>10.1109/TPWRS.2023.3242938</t>
  </si>
  <si>
    <t>Fractional-Order Sliding Mode Load Frequency Control and Stability Analysis for Interconnected Power Systems With Time-Varying Delay</t>
  </si>
  <si>
    <t>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</si>
  <si>
    <t>10.1109/TPWRS.2023.3262584</t>
  </si>
  <si>
    <t>An Efficient Half-Bridge MMC Model for EMTP-Type Simulation Based on Hybrid Numerical Integration</t>
  </si>
  <si>
    <t>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</si>
  <si>
    <t>10.1109/TPWRS.2023.3239166</t>
  </si>
  <si>
    <t>Optimal Energy Utilization of MMC-HVDC System Integrating Offshore Wind Farms for Onshore Weak Grid Inertia Support</t>
  </si>
  <si>
    <t>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</si>
  <si>
    <t>10.1109/TPWRS.2023.3260402</t>
  </si>
  <si>
    <t>Partial-Information-Based Non-Fragile Intermittent Estimator for Microgrids With Semi-Aperiodic DoS Attacks: Gain Stochastic Float</t>
  </si>
  <si>
    <t>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</si>
  <si>
    <t>10.1109/TPWRS.2023.3276008</t>
  </si>
  <si>
    <t>Microgrid Formation and Real-Time Scheduling of Active Distribution Networks Considering Source-Load Stochasticity</t>
  </si>
  <si>
    <t>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</si>
  <si>
    <t>10.1109/TPWRS.2023.3280074</t>
  </si>
  <si>
    <t>Data-Driven Emergency Frequency Control for Multi-Infeed Hybrid AC-DC System</t>
  </si>
  <si>
    <t>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$\boldsymbol{B}$. In case that $\boldsymbol{B}$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</si>
  <si>
    <t>10.1109/TPWRS.2023.3244807</t>
  </si>
  <si>
    <t>Dual Grid-Forming Control With Energy Regulation Capability of MMC-HVDC System Integrating Offshore Wind Farms and Weak Grids</t>
  </si>
  <si>
    <t>To integrate weak onshore grids, some grid forming (GFM) control schemes taking advantage of DC voltage synchronization have been proposed for modular multilevel converter-based high-voltage direct current (MMC-HVDC) systems. In these control schemes, the sub-module (SM) capacitor energy is only used for grid synchronization. Since the SM capacitor is an energy storage device, it has the potential to actively regulate the stored energy. To fully exploit the energy management capability of MMC, a dual grid forming control scheme with energy regulation capability is presented in this paper. The proposed control scheme enables grid forming for both onshore and offshore MMC stations. Meanwhile, the capacitor energy of MMCs can be flexibly regulated to provide frequency support for the onshore grid. To verify the effectiveness of the proposed control scheme, case studies are first carried out in a point-to-point offshore wind farms (OWFs) integrated HVDC system. In addition, the frequency support performance is evaluated in a 3-area 4-machine grid integrated with two OWFs-HVDC systems. Finally, a single-terminal three-phase MMC prototype is developed to test the voltage decoupling and energy management capabilities of the proposed control strategy.</t>
  </si>
  <si>
    <t>10.1109/TPWRS.2023.3267267</t>
  </si>
  <si>
    <t>Online Inertia Allocation for Grid-Connected Renewable Energy Systems Based on Generic ASF Model Under Frequency Nadir Constraint</t>
  </si>
  <si>
    <t>Frequency security is one of the challenges for the power grid penetrated by renewable energy systems (RESs). Virtual inertia provision from the RESs is considered to be efficient support for frequency security enhancement. How to estimate the frequency nadir rapidly and accurately is crucial for the online inertia allocation for the RESs. This paper develops a generic average system frequency (G-ASF) model for the power grid to estimate the frequency nadir at first. The low-order generic model of the speed governing system of the SG is proposed to enhance the accuracy and flexibility of the G-ASF model. Then, based on the G-ASF model, an online inertia allocation strategy for the grid-connected RESs under frequency nadir constraint is proposed. With the pre-identified generic models of the speed governing systems, the G-ASF model of the entire power grid is periodically updated according to the grid operation state. Next to the model updating, the critical inertia of the power grid is periodically calculated under the pre-defined contingencies for frequency security verification. Then, the virtual inertia provision tasks are determined and allocated to the RESs periodically, and the grid frequency security is effectively ensured. The simulation results validate the proposed model and strategy.</t>
  </si>
  <si>
    <t>10.1109/TPWRS.2023.3252502</t>
  </si>
  <si>
    <t>Modeling of Frequency Security Constraints and Quantification of Frequency Control Reserve Capacities for Unit Commitment</t>
  </si>
  <si>
    <t>The high penetration of converter-based renewable energy sources has brought challenges to the power system frequency control. It is essential to consider the frequency security constraints and frequency control reserve requirements in unit commitment (UC). First, a novel extreme learning machine-based method is proposed to approximate the highly nonlinear frequency nadir constraint (FNC) by a set of linear constraints. Second, considering the variation of the frequency insecurity risk under the changing operational condition, we propose to optimize the primary frequency control (PFC) droop gains and reserve capacities in the UC model to provide diverse control efforts in different risk levels adaptively. Third, a secondary frequency control (SFC) reserve capacity quantification method is proposed by combining the Copula theory and distributionally robust optimization technique. The UC simulation is conducted on the IEEE 118-bus system to test the proposed optimal PFC droop gain strategy and SFC reserve capacity quantification method. Simulation results show that the proposed optimal PFC droop gain strategy is better than the traditional fixed PFC droop gain setting on economic efficiency and operational flexibility. Besides, the SFC reserve capacity calculated by the proposed method is more appropriate than the actual SFC reserve capacity in the historical operation.</t>
  </si>
  <si>
    <t>10.1109/TPWRS.2023.3279364</t>
  </si>
  <si>
    <t>Enhanced DC Voltage and Frequency Regulation for High Voltage AC/DC Power Grid</t>
  </si>
  <si>
    <t>This work proposes a primary frequency support mechanism for a voltage source converter (VSC) based multi-terminal high voltage dc (MTDC) transmission system that interconnects asynchronous ac grids. For the ac disturbance case, an augmented control strategy composed of a coordinated droop control (CDC) and a supplementary controller is developed. In CDC, the droop constants are determined considering the desired disturbance sharing ratio among the ac areas and the loading of the converters. On the other hand, the supplementary controller makes the designed droop constants provide the expected performance independent of the dc network parameters and the VSCs power losses. Therefore, the augmented controller can make the interconnected ac power systems exchange power according to the specified disturbance sharing ratio. In addition, the work introduces a new power rerouting technique to enhance the frequency and the dc voltage regulation of the ac/dc power system when a VSC trips. Furthermore, the droop constants for the nominal operation are designed to make the ac grids share the disturbance due to wind farm power variation based on their strength. Case studies are conducted for evaluation, and the presented technique shows enhanced performance in frequency (for instance, 38% improvement when ac disturbance happens) and dc voltage (for example, almost zero deviation when converter outage occurs) regulations compared to the existing mechanisms in the literature.</t>
  </si>
  <si>
    <t>10.1109/TPWRS.2023.3264591</t>
  </si>
  <si>
    <t>Interaction Between Grid-Forming Converters With AC Grids and Damping Improvement Based on Loop Shaping</t>
  </si>
  <si>
    <t>Grid-forming converters (GFC) are promising technology for improving the grid inertia and frequency stability via voltage source converters (VSC). However, GFCs could make the ac-side oscillations more complicated since it mimics the dynamics of synchronous generators (SG), and the ac-side oscillations could spread to the dc systems. This paper investigates the mechanism of the interactions between GFCs and ac grids, and proposes an enhanced GFC to improve the damping performance on oscillations. By separating the system model into GFC-related transfer functions (TF) and the ac grid-related TFs, the interaction and stability margin can be investigated by the phase difference of these TFs at the cross-gain frequency (CGF). A lead compensator is designed to reshape the phase characteristic of GFC-related TF for enhancing the damping performance of the GFC. The effectiveness of the enhanced GFC is tested according to the simulations on DIgSILENT/PowerFactory.</t>
  </si>
  <si>
    <t>10.1109/TPWRS.2023.3262811</t>
  </si>
  <si>
    <t>Dynamic Stabilization of a Centralized Weak Grid-Tied VSC System Considering PV Generator Dynamics</t>
  </si>
  <si>
    <t>This paper addresses the instabilities and dynamic interactions in a centralized vector-controlled voltage-source converter interfacing a single-stage utility-scale photovoltaic (PV) generator to a high-impedance grid system. The dynamic resistance of the PV generator is considered, and effective active stabilization methods to guarantee the entire system's stability are proposed. Further, a complete state-space linearized model is developed, and different operating conditions alongside the maximum-power operation (MPO) are considered, such as fixed-voltage operation (FVO) and fixed-current operation (FCO). It is found that with the change of the PV generator operation from the FVO or MPO to the FCO region under the weak grid and nominal dc-link capacitance conditions, the dominant eigenmodes are relocated to the open-right-half-plane of the S-plane. This eventually induces inevitable high- and low-frequency oscillation instabilities. Further, it is found that medium-frequency oscillation instability is induced in the FVO region under a weak grid and reduced dc-link capacitance conditions. Active compensators are proposed to reduce the interaction dynamics and stabilize the entire system by reshaping the converter transfer functions; hence, the Nyquist stability criterion is maintained. Finally, detailed nonlinear time-domain simulation results are provided, showing the effectiveness of the proposed method in preserving the system's stability under a wide range of operation conditions.</t>
  </si>
  <si>
    <t>10.1109/TPWRS.2023.3274752</t>
  </si>
  <si>
    <t>A Coordinated Voltage-Frequency Support Method for VSC-MTDC Integrated Offshore Wind Farms System</t>
  </si>
  <si>
    <t>Voltage and frequency stability is one of the major concerns with the continuously increasing penetration of offshore wind farms (OWFs) integrated into onshore grid via VSC-MTDC system, and it is a challenge to coordinate its low voltage ride-through (LVRT) and frequency regulation (FR) control when a local fault or large disturbance occurs in onshore grid. To address this challenge, a coordinated voltage-frequency support (CVFS) method for the VSC-MTDC integrated OWFs system is proposed in three parts: 1) an adaptive maximum power point tracking (MPPT) strategy is developed for wind turbines (WTs) to satisfy the power demands for LVRT and FR; 2) an active and reactive power quantification strategy, which firstly considers the static load characteristics of nodes nearest the grid side VSC (GSVSC) stations, is proposed for GSVSC stations to support LVRT and FR respectively; 3) an adaptive power allocation strategy, which considers the capacity constraint and the coordination factor with deviation and rate of change of voltage and frequency of different GSVSC stations, is conducted to achieve differential power distribution between LVRT and FR. Extensive test results have validated the effectiveness and performance of the proposed CVFS method.</t>
  </si>
  <si>
    <t>10.1109/TPWRS.2023.3308104</t>
  </si>
  <si>
    <t>Robust Dynamic Operating Envelopes for DER Integration in Unbalanced Distribution Networks</t>
  </si>
  <si>
    <t>Dynamic operating envelopes (DOEs) have been introduced in recent years as a means to manage the operation of distributed energy resources (DERs) within the network operational constraints. DOEs can be used by network operators to communicate DER dispatchable capacity to aggregators or customers without further consideration of network constraints and are thus viewed as a key enabler for demand-side participation in future electricity markets and for ensuring the integrity of distribution networks. While a number of approaches have been developed to calculate DOEs, uncertainties in system data are typically ignored, which can lead to unreliable results and introduce security risks in network operations. This article presents a deterministic procedure to calculate robust DOEs (RDOEs) explicitly hedged against uncertainty and variability in customers' loads and generations. The approach is based on a geometric construction strictly included within the feasible region of a linear unbalanced three-phase optimal power flow problem that specifies the network operational constraints. The article analyses and rigorously shows that the proposed approach also delivers proportional fairness in capacity allocations, and demonstrates how the RDOEs can be enlarged by i) exploiting the knowledge of customer operational statuses and ii) by optimising customers' controllable reactive powers. The efficiency and compliance of the proposed approach are characterised and discussed for three numerical case studies of varying complexity: a 2-bus conceptual distribution network, a 33-bus real-world Australian representative low-voltage distribution network, and a 132-bus low-voltage distribution network synthetically constructed by extending the 33-bus network model.</t>
  </si>
  <si>
    <t>10.1109/TPWRS.2023.3288039</t>
  </si>
  <si>
    <t>Towards Risk-Aware Real-Time Security Constrained Economic Dispatch: A Tailored Deep Reinforcement Learning Approach</t>
  </si>
  <si>
    <t>In the presence of increasing uncertainties brought by intermittent renewable energy sources, security and risk management continue to be the most critical concern in modern power system operation. Risk-aware, real-time security constrained economic dispatch (RT-SCED) provides an efficient solution towards promptly, economically and robustly responding to the changes in the power system operating state. Despite different model-based methods have been developed to handle uncertainties, significant computation burden arise to incorporate $N$-1 contingency constraints with a higher temporal resolution in RT-SCED. Driven by similar computational challenges, risk evaluation is often overlooked in the current application of deep reinforcement learning (DRL) based data-driven methods in RT-SCED. This article proposes a DRL-based risk-aware RT-SCED methodological framework by incorporating a novel data-driven risk evaluation model to foster efficient agent-environment interactions. The real-time dispatch policies are constructed with an improved twin delayed deep deterministic policy gradient method. The policy network features a residual network architecture and incorporates an active power allocation mechanism to integrate empirical dispatch knowledge, preventing early termination and fostering more efficient learning behavior. Case studies validate the superior performance of the proposed method in risk-aware RT-SCED on cost efficiency, uncertainty adaptability and computational efficiency, through benchmarking against model-based and data-driven baseline methods.</t>
  </si>
  <si>
    <t>10.1109/TPWRS.2023.3299386</t>
  </si>
  <si>
    <t>Real Time Line Power Flow Control Using Model Agnostic Controller</t>
  </si>
  <si>
    <t>This article addresses the challenge of mitigating line overloading/congestion caused by renewable penetration and contingencies. Traditional methods of mitigating overloading involve generation rescheduling in tertiary dispatch every 5-30 minutes. This approach is generally based on forecasted load and generation, and not effective in real-time corrective actions. The article introduces a model-free Neuro Predictive Controller (NPC) that can map line power flows to the inputs of dispatching resources such as generators and/or battery energy storage systems. The NPC receives synchrophasor measurement of line power flows and generates control inputs (i.e., set points) to generators and/or battery energy storage systems. The controller does not require frequent update of the system model. The efficacy of the controller was tested on 16-machine 68-bus test system and the Indian grid for various scenarios, such as line outage, generator outage, variable renewable generation, and load change. The proposed controller demonstrated better performance as compared to the existing controllers. Upon successful implementation, the controller can regulate line flow in less than 60 seconds, allowing the lines to operate closer to the thermal limit and resolve limit violations due to contingencies and variable renewable generation in real-time.</t>
  </si>
  <si>
    <t>10.1109/TPWRS.2023.3288086</t>
  </si>
  <si>
    <t>Frequency Control and Optimal Operation of Low-Inertia Power Systems With HVDC and Renewable Energy: A Review</t>
  </si>
  <si>
    <t>With the integration of large-scale renewable energy sources (RES) and high voltage direct current (HVDC) based inter-regional transmission, modern power systems are facing low-inertia issues and poor frequency regulation capabilities. This article conducts a comprehensive review on frequency control and optimal operation methods in this context. First, the frequency characteristic of a low-inertia power system is analyzed covering the whole frequency response process. Secondly, the impacts of RES and HVDC integration on system inertia and frequency performance are studied, and the system frequency characteristics considering RES and HVDC are analyzed. Then, the frequency response modes of various frequency regulation resources are compared from the perspective of "source-grid-load-storage", including their basic control principles and frequency control strategies. Further, from the operation dispatch perspective, the frequency security-constrained power system optimal operation methods are reviewed. Finally, future research trends in this area are discussed.</t>
  </si>
  <si>
    <t>10.1109/TPWRS.2023.3295593</t>
  </si>
  <si>
    <t>A System-View Optimal Additional Active Power Control of Wind Turbines for Grid Frequency Support</t>
  </si>
  <si>
    <t>Additional active power control (AAPC) of wind turbines (WTs) is essential to improve the transient frequency stability of low-inertia power systems. Most of the existing research has focused on imitating the frequency response of the synchronous generator (SG), known as virtual inertia control (VIC), but are such control laws optimal for the power systems? Inspired by this question, this article proposes an optimal AAPC of WTs to maximize the frequency nadir post a major power deficit. By decoupling the WT response and the frequency dynamics, the optimal frequency trajectory is solved based on the trajectory model, and its universality is strictly proven. Then the optimal AAPC of WTs is constructed reversely based on the average system frequency (ASF) model with the optimal frequency trajectory as the desired control results. The proposed method can significantly improve the system frequency nadir. Meanwhile, the event insensitivity makes it can be deployed based on the on-line rolling update under a hypothetic disturbance, avoiding the heavy post-event computational burden. Finally, simulation results in a two-machine power system and the IEEE 39 bus power system verify the effectiveness of the optimal AAPC of WTs.</t>
  </si>
  <si>
    <t>10.1109/TPWRS.2023.3302421</t>
  </si>
  <si>
    <t>Time-Varying Operating Regions of End-Users and Feeders in Low-Voltage Distribution Networks</t>
  </si>
  <si>
    <t>Dynamic operating envelopes (DOEs) are promising to cater for the strong uptake of distributed energy resources (DERs) in low-voltage (LV) distribution networks while ensuring secure network operation. Under the current framework, DOEs only specify active-reactive power set-points at households' point of connection (POC). In this regard, DOEs do not provide information on the feasible operating region (FOR) of end-users, which is helpful for an aggregator's market decisions. This article proposes a near real-time approach to determine DOEs that specify the FOR at end-users' POC in an LV distribution network. First, Latin hypercube sampling (LHS)-based load flow studies are performed to identify feasible pairs of P-Q injections at the POC that would not breach voltage limits. Secondly, the convex hull of feasible pairs is constructed to obtain household DOEs. Finally, a feeder-level time-varying envelope that represents the aggregate flexibility of downstream nodes of the network is calculated. A comprehensive analysis on a real Australian LV distribution network using realistic data suggests that the proposed approach is scalable and encourages active power exports beyond current industry practice. Moreover, the framework ensures privacy and separation between the distribution network service provider (DNSP) and the aggregator aligned with the existing policy and regulatory frameworks.</t>
  </si>
  <si>
    <t>10.1109/TPWRS.2023.3329820</t>
  </si>
  <si>
    <t>A Spatio-Temporal Decomposition Method for the Coordinated Economic Dispatch of Integrated Transmission and Distribution Grids</t>
  </si>
  <si>
    <t>With numerous distributed energy resources (DERs) integrated into the distribution networks (DNs), the coordinated economic dispatch (C-ED) is essential for the integrated transmission and distribution grids. For large scale power grids, the centralized C-ED meets high computational burden and information privacy issues. To tackle these issues, this paper proposes a spatio-temporal decomposition algorithm to solve the C-ED in a distributed and parallel manner. In the temporal dimension, the multi-period economic dispatch (ED) of transmission grid (TG) is decomposed to several subproblems by introducing auxiliary variables and overlapping time intervals to deal with the temporal coupling constraints. Besides, an accelerated alternative direction method of multipliers (A-ADMM) based temporal decomposition algorithm with a good initialization strategy, is developed to solve the ED subproblems of TG in parallel. In the spatial dimension, a multi-parametric programming projection based spatial decomposition algorithm is developed to coordinate the ED problems of TG and DNs in a distributed manner. To further improve the convergence performance of the spatial decomposition algorithm, the aggregate equivalence approach is used for determining the feasible range of boundary variables of TG and DNs. Moreover, we prove that the proposed spatio-temporal decomposition method can obtain the optimal solution for bilevel convex optimization problems with continuously differentiable objectives and constraints. Numerical tests are conducted on three systems with different scales, demonstrating the high computational efficiency and scalability of the proposed spatio-temporal decomposition method.</t>
  </si>
  <si>
    <t>10.1109/TPWRS.2023.3334995</t>
  </si>
  <si>
    <t>Semi-Supervised, Non-Intrusive Disaggregation of Nodal Load Profiles With Significant Behind-the-Meter Solar Generation</t>
  </si>
  <si>
    <t>It is of imperative interests for regional transmission organizations (RTOs) to effectively extract actual load profiles at transmission nodes with significant behind-the-meter solar generation, which remains a gap in the existing technology paradigm. This paper proposes an explicit yet efficient linear estimator to disaggregate actual load profiles at transmission buses with significant behind-the-meter (BTM) solar generations. The proposed estimator is based on disaggregating (i.e., extracting) at locations close to transmission buses under consideration. To overcome the lack of ground truth and validate the performance of the proposed algorithms, we first propose semi-supervised mechanisms with parameter tuning as well as unsupervised clustering and leverage the unique characteristics of zero-crossing points in BTM solar peaking behaviors, which we refer to as Zone-to-Node (Z2N) methods. Next, we further propose a bi-level Node-to-Node (N2N) framework that improves the overall disaggregation performances compared to Z2N. Numerical results are presented using real-world data at PJM Interconnection.</t>
  </si>
  <si>
    <t>10.1109/TPWRS.2024.3354299</t>
  </si>
  <si>
    <t>Modeling Microgrids for Analytical Distribution System Reliability Evaluation</t>
  </si>
  <si>
    <t>Focusing on the ability of microgrids (MGs) to provide a backup power supply to the distribution system in the event of main grid outages or disruptions, this article aims to propose a reliability model for self-controlled distributed energy resource-rich MGs from the perspective of the distribution system to which they are connected. To that end, the reliability model of MGs is derived using the Monte Carlo simulation approach and a mixed-integer linear programming-based model for optimal scheduling and resource management of MGs. An analytical framework for assessing the reliability of distribution systems in the presence of MGs is then developed by leveraging the proposed reliability model for MGs. Modeling and analyzing MGs using the proposed methodology result in the simplification and acceleration of computations associated with the reliability assessment of a distribution system including multiple MGs. The effectiveness and applicability of the proposed method are demonstrated through its implementation on a modified IEEE test system.</t>
  </si>
  <si>
    <t>10.1109/TPWRS.2024.3354888</t>
  </si>
  <si>
    <t>Voltage Security Region of a Three-Phase Unbalanced Distribution Power System With Dynamics</t>
  </si>
  <si>
    <t>Distributed energy resources (DER) and control assets on the grid provide mechanisms to ensure voltage support and power quality, and can be used as a means to maintain voltages close to nominal values. In this work, we study the security region of a system in the presence of devices with dynamics. We focus our efforts on the dynamics of devices that apply discrete changes, such as voltage regulators or capacitor banks, and DERs that change the power injections with Volt/Var/Watt functionality. The slow dynamics of these devices, coupled through the power flow equations, are modeled as a switching dynamical system where the switching condition depends on the operating point of the system. We identify the feasible set of DER power injections that prevent the switching of devices and oscillations in the voltage profile, and formulate an optimization problem that finds a robust operating point for voltage control. This operating point is the center of the largest Euclidean ball inscribed in the security region, and the radius of the ball is the security margin of the system. We showcase our models using the IEEE test cases. Our work has applications in voltage control and distribution planning.</t>
  </si>
  <si>
    <t>10.1109/TPWRS.2023.3256642</t>
  </si>
  <si>
    <t>Sparse Measurement-Based Modelling Low-Order Dynamics for Primary Frequency Regulation</t>
  </si>
  <si>
    <t>Developing a low-order model for a target with dynamic analysis and control of the primary frequency regulation (PFR) is critical for power system stability. Measurement-based modelling is an important way to improve the model fit with practical systems. The traditional interpretation of PFR is based on the combined effect of each generator unit on the system frequency, so the response of each unit needs to be measured for modelling. With the integration of a large number, distribution and diversified frequency regulation of units into a power system, it will be a burden to measure the response of all generation units. Instead of revealing the PFR dynamics based on each generation unit, this paper illustrates the impact of all units on the frequency dynamics from the perspective of the system response. Only the system frequency is needed to construct a dataset for identifying the PFR model so that the measurement required is sparse. The effectiveness of the proposed method is verified using a test system containing multiple types of units in numerical simulations and real measurements of an actual power system.</t>
  </si>
  <si>
    <t>10.1109/TPWRS.2023.3243669</t>
  </si>
  <si>
    <t>A Real-Time Redispatch Method to Evaluate the Contribution of Storage to Capacity Adequacy</t>
  </si>
  <si>
    <t>This paper proposes a novel real-time redispatch method for energy storage systems (ESSs) in resource adequacy studies. In case of real-time contingencies, a realistic operating profile is generated for ESSs to enhance system reliability by mitigating loss of load events, while maintaining their market schedule to the extent possible. Contrary to the standard approaches in the literature, the proposed method neither adopts a perfect foresight for future events, such as generator failures, nor does it resort to â€œgreedyâ€ adequacy-oriented management strategies which are detached from normal operation. Instead, storages follow a market-driven schedule, being suitably redispatched during real-time operation when necessary for adequacy reasons, subject to their energy and power capacity constraints. The redispatch method is deterministically formulated through a sequence of logical conditions and is integrated into a stochastic adequacy assessment model built upon Monte Carlo technique. Multiple battery energy storage configurations have been examined, with the Greek power system serving as a realistic case study, to evaluate the method against others available in the literature and calculate the capacity value of battery ESS.</t>
  </si>
  <si>
    <t>10.1109/TPWRS.2023.3290611</t>
  </si>
  <si>
    <t>Power Flow Models of Grid-Forming Inverters in Unbalanced Distribution Grids</t>
  </si>
  <si>
    <t>Load unbalance in electric distribution systems is unavoidable. Unbalanced load currents will lead to negative sequence (NS) voltages that may damage electric equipment. Unbalanced power flow analysis is a common tool to detect and mitigate NS voltage issues and requires accurate models of grid components. While traditional source models are available, grid-forming (GFM) inverter models are not well developed. GFM inverters implement various control strategies, which affect their power flow models. In this article, a novel GFM inverter model considering control effects is proposed. We show that for some control methods, unbalanced system loading will lead to unbalanced terminal voltages of the GFM inverters, which are modeled through an equivalent negative sequence impedance. The proposed models are initially validated using a simple test circuit. Then, they are applied in the power flow analysis on the IEEE 13-bus and 34-bus systems to demonstrate the accuracy improvement over the state-of-the-art. Using time-domain simulations as benchmarks, we show that the proposed models reduce the calculation error of negative sequence voltages by at least 25% in unbalanced distribution systems.</t>
  </si>
  <si>
    <t>10.1109/TPWRS.2023.3309131</t>
  </si>
  <si>
    <t>Probabilistic Constraint Construction for Network-Safe Load Coordination</t>
  </si>
  <si>
    <t>Distributed Energy Resources (DERs) can provide balancing services to the grid, but their power variations might cause voltage and current constraint violations in the distribution network, compromising network safety. This could be avoided by including network constraints within DER control formulations, but the entities coordinating DERs (e.g., aggregators) may not have access to network information, which typically is known only to the utility. Therefore, it is challenging to develop network-safe DER control algorithms when the aggregator is not the utility; it requires these entities to coordinate with each other. In this article, we develop an aggregator-utility coordination framework that enables network-safe control of thermostatically-controlled loads to provide frequency regulation. In our framework, the utility sends a network-safe constraint set on the aggregator's input without directly sharing any network information. We propose a constraint set construction algorithm that guarantees satisfaction of a chance constraint on network safety. Assuming monotonicity of the probability of network safety with respect to the aggregator's input, we leverage the bisection method to find the largest possible constraint set, providing maximum flexibility to the aggregator. Simulations show that, compared to two benchmark algorithms, the proposed approach provides a good balance between service quality and network safety.</t>
  </si>
  <si>
    <t>10.1109/TPWRS.2023.3322434</t>
  </si>
  <si>
    <t>Australia's Power System Frequency: Current Situation, Industrial Challenges, Efforts, and Future Research Directions</t>
  </si>
  <si>
    <t>This industry-oriented article presents an overview and in-depth analysis of previous and current situations of power system frequency response and control in the Australian National Electricity Market (NEM) power system. It provides a comprehensive understanding of frequency support services in the NEM and their corresponding market and energy governance bodies and control mechanisms. The evaluation of different services and frequency control ancillary services (FCASs) provided by different electricity market players under the supervision of the Australian Energy Market Operator (AEMO) as an independent system operator provides lessons and an understanding of the current operation status with its real challenges and opportunities from frequency stability and security perspectives. Based on the evaluation of the current situation and future national planning, such as the integrated system plan (ISP), a number of research gaps and industrial technical issues are identified. The article also presents perspectives on future research directions to help the power system transformation toward almost 100% renewable-rich and more secure energy systems.</t>
  </si>
  <si>
    <t>10.1109/TPWRS.2023.3331896</t>
  </si>
  <si>
    <t>Bus Split Distribution Factors</t>
  </si>
  <si>
    <t>The linearised DC loadflow is a fast way to calculate the load flow in transmission networks, and it is often performed by calculating the PTDF. However, until now changes in topology due to busbar splitting cannot be dealt with in an efficient way when using the PTDF. In this study, we introduce the Bus Split Distribution Factors (BSDF) which enable an efficient way to compute the effects of busbar splitting on the DC load flow. The derivation of the BSDF formulas is based on modelling the busbar coupler as a branch with vanishing reactance and by using transformed LODF formulas. In times of the energy transition the BSDF approach might be especially helpful since optimal grid topology control is still a largely unexploited form of flexibility for system operators due to the complex combinatorial nature of grid topology reconfiguration. With the BSDF approach much faster screening of topological remedial actions (including substation reconfigurations) in congestion management applications is possible.</t>
  </si>
  <si>
    <t>10.1109/TPWRS.2024.3381003</t>
  </si>
  <si>
    <t>Universal Dual-Port Grid-Forming Control: Bridging the Gap Between Grid-Forming and Grid-Following Control</t>
  </si>
  <si>
    <t>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t>
  </si>
  <si>
    <t>10.1109/TPWRS.2022.3169139</t>
  </si>
  <si>
    <t>Physics-Constrained Robustness Evaluation of Intelligent Security Assessment for Power Systems</t>
  </si>
  <si>
    <t>Machine learning (ML) algorithms have been widely developed to enable real-time security assessment for large-scale electricity grids. However, it also has been extensively recognized that the ML models are vulnerable to adversarial examples, which are slightly perturbed instances that can mislead the classifications but cannot be distinguished by human eyes. Considering the adversarial examples against the ML-based security assessment, they must not only cause misclassification but also follow the power balance and transfer limits and bypass the bad data detection. To this end, this paper proposes a novel concept named physics-constrained robustness that aims to computing a lower-bound of adversarial perturbations, evaluating the vulnerability of the ML-based intelligent security assessment (ISA) for power systems. A general optimization problem is formulated to compute the physics-constrained robustness of ISA with the mislabeling, power balance, power limitation, and invisible constraints. The analytical results and comparing relationship of ISAâ€™s robustness with different constraints are provided. By using the static security assessment as an example, we provide explicit formulations to evaluate the physics-constrained robustness of. Finally, extensive experiments are conducted to evaluate the physics-constrained robustness of ISA in static and dynamic cases with the real-world load profiles from New York State and provide suggestions to select the ML models and parameters.</t>
  </si>
  <si>
    <t>10.1109/TPWRS.2022.3177593</t>
  </si>
  <si>
    <t>Distributed Event-Triggered Hierarchical Control of PV Inverters to Provide Multi-Time Scale Frequency Response for AC Microgrid</t>
  </si>
  <si>
    <t>With the increasing penetration of inverter-interfaced photovoltaic (PV) systems in AC microgrids, the system inertia is increasingly deficient and the frequency response ancillary service provided by PV systems will be inevitable. In this paper, in order to make the PV systems provide multi-time scale frequency response, a novel distributed event-triggered hierarchical control (DEHC) of PV inverters is proposed, which includes a primary frequency response (PFR) control loop and a secondary frequency response (SFR) control loop. For the PFR, the PV inverters that operate in frequency regulation (FR) mode can arrest the frequency deviation in sub-seconds time-scale by an automatic deloading strategy, which is with low cost and easy to implement as no requirements for a storage system, irradiance sensors, and MPP estimators. For the SFR, the PV inverters that operate in FR mode can respond to the reference instruction assigned by a high-level AGC control center in seconds time-scale based on a novel distributed control strategy, which can converge within a fixed-time that independents to the initial conditions of the system. Furthermore, a novel event-triggered mechanism is designed to reduce the communication costs between PV inverters. Finally, case study results verify the effectiveness and improved performance of the proposed method.</t>
  </si>
  <si>
    <t>10.1109/TPWRS.2022.3224971</t>
  </si>
  <si>
    <t>A Two-Stage Power Distribution Scheme of Multiple Wind Farms Participating in Primary Frequency Regulation</t>
  </si>
  <si>
    <t>With the increasing penetration rate of renewable energy power generation (RPG) in power system, improving the frequency regulation ability of RPG has become a general trend. The premise of effective participation of RPG in primary frequency regulation (PFR) is to reasonably design the power distribution scheme for RPG devices. In order to effectively evaluate the frequency support capability of wind power generation system, the system frequency response (SFR) model under the joint action of synchronous generators, wind farms (WF) and low frequency load shedding device is established in this paper. According to the time-domain solution of this mathematical model, the influence of the output power of the WF on SFR is mathematically explained. At the same time, the influence of time delay on SFR is further demonstrated. In order to maximize the release of the rotor kinetic energy of the wind turbine and ensure the safe operation of the wind turbine when designing the power distribution scheme, an accurate prediction method of wind turbine rotor speed based on piecewise fitting and Bernoulli equation is proposed. Based on the established SFR model and rotor speed prediction method, a two-stage power distribution scheme for multiple WFs during PFR is proposed, which comprehensively considers the SFR requirements and different power output capabilities of multiple WFs. The effectiveness and superiority of the proposed power distribution scheme are validated with revised IEEE 39-bus test system and revised PG&amp;E 69-bus test system.</t>
  </si>
  <si>
    <t>10.1109/TPWRS.2022.3229568</t>
  </si>
  <si>
    <t>Renewable Electric Energy System Planning Considering Seasonal Electricity Imbalance Risk</t>
  </si>
  <si>
    <t>The growing renewable integration significantly enhances the seasonal electricity imbalance of the electric energy system. However, traditional power system planning methods usually take into account the hourly power balance within typical days but seldom consider the seasonal imbalance risk in the long-term timescale. Therefore, this paper proposes a generation-transmission-storage co-planning model considering the seasonal imbalance risk brought by the long-term uncertainty of renewable generation in the power system. The Conditional Value at Risk (CVaR) method is introduced to quantify the seasonal imbalance risk. The power system energy balance constraints are decoupled into short-term (i.e., hourly) and long-term (i.e., monthly) energy balance so that the operation of the power system can be considered within different timescales and the seasonal imbalance risk could be calculated. The validity of the proposed model is first investigated via a modified Garver's 6-bus system case study. Furthermore, the research on the HRP-38 system (HRP represents high renewable penetration) illustrates that our proposed model could effectively control the energy imbalance risk from multiple timescales. Finally, the proposed method is applied to the whole China power system at the province level, proving that the proposed planning method could effectively enhance the reliability of China's power system, decreasing both the average annual short-term and long-term energy imbalance by 30%.</t>
  </si>
  <si>
    <t>10.1109/TPWRS.2024.3392622</t>
  </si>
  <si>
    <t>Aggregated Feasible Active Power Region for Distributed Energy Resources With a Distributionally Robust Joint Probabilistic Guarantee</t>
  </si>
  <si>
    <t>Distributed Energy Resources (DERs) have valuable flexibility to provide grid services. The Aggregated Feasible Active Power Region (AFAPR) is useful for aggregating DERs and reducing the computational burden in system-wide DER scheduling. However, the uncertainty of DERs calls for a reliable AFAPR. This paper proposes a novel surrogate polytope method for deriving the inner approximation of the AFAPR that is jointly reliable for all DER constraints and linear network constraints across the scheduling period. Instead of directly applying the chance constraints to the low-level DER constraints and network constraints, the proposed method applies the Wasserstein Distributionally Robust Joint Chance Constraint (WDRJCC) to the surrogate polytope approximation of the AFAPR, which is reformulated into a tractable set of Mixed Integer Linear Programming (MILP) constraints. Our derived inner approximation to the reliable AFAPR is less conservative while still being reliable, as demonstrated by comparisons with four benchmarks in extensive case studies, and with the nonlinear Z-Bus power flow simulation applied to validate the satisfaction of network constraints. The historical data size required is small, making the proposed method easier to deploy. The scale of MILP constraints is small and does not increase with the network size nor with the number of DERs.</t>
  </si>
  <si>
    <t>10.1109/TPWRS.2024.3393866</t>
  </si>
  <si>
    <t>Grouping of $N-1$ Contingencies for Controller Synthesis: A Study for Power Line Failures</t>
  </si>
  <si>
    <t>The problem of maintaining power system stability and performance after the failure of any single line in a power system (an â€œ$N-1$ contingencyâ€) is investigated. Due to the large number of possible $N-1$ contingencies for a power network, it is impractical to optimize controller parameters for each possible contingency a priori. A method to partition a set of contingencies into groups of contingencies that are similar to each other from a control perspective is presented. Design of a single controller for each group, rather than for each contingency, provides a computationally tractable method for maintaining stability and performance after element failures. The choice of number of groups tunes a trade-off between computation time and controller performance for a given set of contingencies. Results are simulated on the IEEE 39-bus and 68-bus systems, illustrating that, with controllers designed for a relatively small number of groups, power system stability may be significantly improved after an $N-1$ contingency compared to continued use of the nominal controller. Furthermore, performance is comparable to that of controllers designed for each contingency individually.</t>
  </si>
  <si>
    <t>10.1109/TPWRS.2024.3404815</t>
  </si>
  <si>
    <t>Distribution System Behind-the-Meter DERs: Estimation, Uncertainty Quantification, and Control</t>
  </si>
  <si>
    <t>This article summarizes the three-year technical activities of the IEEE Task Force (TF) on behind-the-meter (BTM) distributed energy resources (DERs): estimation, uncertainty quantification, and control. The potential grid services from BTM DERs are discussed in detail. The paper also reviews the state-of-the-art for BTM DERs visibility, uncertainty quantification, and, optimization and control. Furthermore, different aspects of the market structures associated with BTM DERs are covered, including emerging market and business models. Finally, needs and recommendations are provided for additional areas such as system protection, computing capabilities, algorithm development, market structure design, cyberinfrastructure and security, and hardware and software developments.</t>
  </si>
  <si>
    <t>10.1109/TPWRS.2024.3408844</t>
  </si>
  <si>
    <t>DER-Inverter Based Reactive Power Ancillary Service for Supporting Peer-to-Peer Transactive Energy Trading in Distribution Networks</t>
  </si>
  <si>
    <t>Fast proliferation of distributed energy resources (DERs) and emergence of peer-to-peer (P2P) energy trading are introducing significant operation challenges to distribution networks. This paper designs a multi-timescale reactive power ancillary service trading framework in this context. The framework consists of a contract-based day-ahead Var reserve service trading stage and an hourly-ahead Var support service trading stage. At the day-ahead stage, the distribution system operator (DSO) signs a robust Var reserve contract with inverter-interfaced DERs which have sufficient Var capacity, and the problem is formulated as a two-stage robust optimization model considering uncertain nodal loads and hourly-ahead market behaviors. As an important advantage, the robust Var reserve contract eliminates the potential market power that the DERs may gain due to system configuration deficiency and market structure flaws at the later hourly-ahead trading stage. After uncertainty realization, at the hourly-ahead stage, DERs further provide the DSO with paid hourly-ahead Var supports using their spare Var capacity. The bilateral hourly-ahead Var trading between the DSO and DERs is modelled as a non-cooperative game. To attain a generalized Nash equilibrium (GNE) of the non-cooperative game, a distributed algorithm is developed by building the connection between the GNE and the primal-dual solution of a related social cost minimization problem. The proposed framework and methods are tested on three distribution systems of different scales.</t>
  </si>
  <si>
    <t>10.1109/TPWRS.2024.3413680</t>
  </si>
  <si>
    <t>Hierarchical Distributed Chance-Constrained Voltage Control for HV and MV DNs Based on Nonlinearity-Adaptive Data-Driven Method</t>
  </si>
  <si>
    <t>With large-scale distributed energy resources (DERs) being integrated into distribution networks (DNs), the coordinated optimal power flow (OPF) of high voltage (HV) and medium voltage (MV) DNs becomes challenging due to enhanced uncertainties and nonlinearity. This paper presents a hierarchical distributed chance-constrained OPF model for HV and MV DNs based on a nonlinear adaptive data-driven method. The HV master problem aims to minimize the overall operational costs, and is transformed into mixed-integer convex problem via second order cone programming. A model-free chance-constrained optimization sub-problem is established to tackle inaccurate model parameters issues and DER uncertainties in MV DNs and realize rapid response to control schemes from HV DN. The nonlinearity of power flow is approximately depicted by a data-driven incomplete dimension lifting power flow (IDL-PF) constraint, which is integrated into the MV DNs optimization model. A novel multi-parameter programming (MPP)-based distributed algorithm is proposed to solve the coordinated OPF model, which can significantly accelerate the iterative speed between the master and sub-problems. Finally, the convergence, efficiency and optimality of the proposed method are validated by numerous simulations in a practical DNs in China.</t>
  </si>
  <si>
    <t>10.1109/TPWRS.2024.3507750</t>
  </si>
  <si>
    <t>Real-Time Economic Dispatch Approach for Wholesale Energy Market With Multi-Transmission-Node DER Aggregation</t>
  </si>
  <si>
    <t>Enabling the integration of distributed energy resources (DERs) into the wholesale market, as prompted by the FERC Order 2222, introduces substantial operational complexities. To align with the current wholesale energy market practice, regional transmission organizations (RTOs) are pursuing the aggregation of transmission-node-level DERs (T-DERs), in which each T-DER is a projected representation of all DERs in the distribution network underneath the transmission node, such as a virtual power plant (VPP). This paper advances a real-time economic dispatch (RTED) framework to facilitate the aggregation of multiple T-DERs, optimizing their participation in energy market operations. We enhance the distribution factors (DFs) based modeling to capture the impact of individual T-DERs across the transmission network. Specifically, an innovative DF updating strategy is introduced in our methodology, incorporating a tailored K-Nearest Neighbors (KNN) predictor and a discrete PI corrector, along with transmission signals that sufficiently guarantee transmission constraints. These enhancements optimize the economic efficiency of the market clearing process, allowing numerous T-DERs to be involved in current energy market practices. The proposed method is tested on modified 24-bus and 118-bus systems via a rolling RTED process with real load data. The test results show that the proposed framework demonstrates marked improvements in minimizing system operation costs and satisfying the transmission network constraints.</t>
  </si>
  <si>
    <t>10.1109/TPWRS.2024.3510924</t>
  </si>
  <si>
    <t>Resilient Distributed Control for Power Systems With Multiple Synchronous Generators and DERs Satisfying Capability Curve Requirements</t>
  </si>
  <si>
    <t>In this paper, a novel distributed integral controller is proposed for a power system with multiple synchronous generators (SGs) and inverter-interfaced distributed energy resources (DERs) that ensures grid frequency restoration, voltage regulation and accurate power sharing while satisfying technical/operational constraints for the real and reactive power imposed by the capability curve of each unit. By taking into account the generic nonlinear dynamic model of the entire power system and considering only neighbour-to-neighbour communication among SGs and DERs, the proposed controller is suitably designed to inherently guarantee the capability curve constraints using invariant set theory (Nagumo's theorem), without introducing saturation units that may lead to instability, as commonly used in the existing literature. Furthermore, closed-loop system stability is also investigated to prove convergence to the desired equilibrium point for different values of the controller gains. Finally, it is analytically shown that in the case where one or more SG or DER units are forced to reach their capability curve limits, due to abnormal conditions caused by sudden load changes, cyber attacks, measurement faults, etc., the remaining non-compromised units will automatically continue to accomplish the control tasks (frequency regulation, power sharing); thus enhancing the resilience of the entire power system. The effectiveness of the proposed controller is verified under 3 extreme scenarios (load change, setpoint attack, measurement fault) on an experimental setup using the Typhoon HIL real-time system for a 10-bus and a 14-bus power network, both with 4 SGs and 2 inverter-interfaced DERs and is directly compared to a conventional distributed integral controller.</t>
  </si>
  <si>
    <t>10.1109/TPWRS.2025.3527676</t>
  </si>
  <si>
    <t>Wind Power Plant Dispatch for Power Grid Frequency Dynamics Improvement: A Surrogate Model-Based Method</t>
  </si>
  <si>
    <t>Frequency regulation support (FRS) from wind power plants (WPPs) is critical for enhancing the frequency stability of modern power systems. To preserve WPP FRS capabilities, it is essential to account for the frequency response dynamics of each wind turbine generator (WTG) in the WPP-level dispatch process. However, incorporating these dynamics into dispatch algorithms is complex due to the intricate WTG control strategies required for varying wind conditions. To overcome this challenge, this paper first examines detailed WTG dynamics models to capture key frequency response characteristics. A surrogate modeling approach is then proposed, providing an analytical model that accurately represents WTG FRS dynamics. Leveraging this surrogate model, a short-term WPP dispatch framework is developed, ensuring both precise dispatch command tracking and the preservation of FRS capabilities. Additionally, an efficient solving strategy is introduced to enhance the computational performance of the dispatch model. Case studies demonstrate the effectiveness and robustness of the proposed method, offering a significant advancement in integrating WPPs into frequency regulation frameworks.</t>
  </si>
  <si>
    <t>10.1109/TPWRS.2025.3558868</t>
  </si>
  <si>
    <t>Aggregator of Electric Vehicles Bidding in Nordic FCR-D Markets: A Chance-Constrained Program</t>
  </si>
  <si>
    <t>The Danish system operator, Energinet, has recently introduced an innovative grid code called the $\rm {P90 \ requirement}$, which allows stochastic flexible resources to bid their flexibility in Nordic ancillary service markets, contingent upon a minimum 90% probability of successfully realizing the reserve capacity bid. For limited-energy resources, Energinet imposes additional requirements for participation in these markets. Given these requirements, this paper presents a chance-constrained optimization model designed for aggregators of electric vehicles, aiming to optimally place reserve capacity bids in the Nordic Frequency Containment Reserve for Disturbances (FCR-D) market while accounting for uncertainty in future consumption baselines. We analyze both FCR-D up and down markets, reformulating and solving the proposed joint chance-constrained model using two sample-based methods. Using real data from 1400 charging stations in Denmark from March 2022 to March 2023, we demonstrate the out-of-sample profit potential. Our findings indicate that vehicle owners could save between 6% and 10% on their annual electricity bills by providing FCR-D services. Additionally, we observed a synergy effect, where having more vehicles in a single portfolio enables larger bids per vehicle compared to a collective bid from multiple portfolios with the same total number of vehicles.</t>
  </si>
  <si>
    <t>10.1109/TPWRS.2025.3562811</t>
  </si>
  <si>
    <t>Hybrid Oscillation Damping and Inertia Management for Distributed Energy Resources</t>
  </si>
  <si>
    <t>Power systems dominated by converter-interfaced distributed energy resources (DERs) typically exhibit weaker damping capabilities and lower inertia, compromising system stability. Although individual DER controllers are evolving to provide superior oscillation damping capabilities and inertia supports, there is a lack of network-wide coordinated management measures for multiple DERs, potentially leading to unexpected instability and cost-effectiveness problems. To address this gap, this paper introduces a hybrid oscillation damping and inertia management strategy for multiple DERs, considering network coupling effects, and seeks to encourage DERs to provide enhanced damping and inertia with appropriate economic incentives. We first formulate an optimization problem to tune and allocate damping and inertia coefficients for DERs, minimizing associated power and energy costs while ensuring hard constraints for system frequency stability and small-signal stability. The problem is built upon a novel convex parametric formulation that integrates oscillation mode location and frequency trajectory requirements, equipped with a theoretical guarantee, and eliminating the need for iterative tuning and computation burdens. Furthermore, to increase the willingness of DERs to cooperate, we further design appropriate economic incentives to compensate for DERs' costs based on the proposed cost minimization problem, and assess its impact on system cost-efficiency. Numerical tests highlight the effectiveness of the proposed method in promoting system stability and offer insights into potential economic benefits.</t>
  </si>
  <si>
    <t>10.1109/TPWRS.2025.3563041</t>
  </si>
  <si>
    <t>Quantifying and Optimizing the Time-Coupled Flexibilities at the Distribution-Level for TSO-DSO Coordination</t>
  </si>
  <si>
    <t>Distributed energy resources (DERs) in distribution systems offer substantial flexibility potential for power system operations, necessitating effective quantification and optimization methods for their utilization. This paper presents a unified time-coupled flexibility cost quantification approach that aligns with time-coupled flexibility models of various types of DER, whether individual or aggregated. The superior capability in accurately capturing the user inconvenience costs compared to traditional power-range-based, time-decoupled methods is demonstrated, thereby enhancing user willingness to provide flexibility to support the power system operation. Based on the quantification method, a DSO optimization model that activates DER flexibility for energy arbitrage and ancillary services provision in the transmission system while maintaining the distribution system's security and economic efficiency, i.e., TSO-DSO coordination, is developed. The optimization model introduces the concept of marginal flexibility prices (MFPs), which quantify the marginal contribution of flexibility in TSO-DSO coordination. Using MFPs for revenue allocation, incentive compatibility, revenue adequacy, and the non-profit status of DSO are guaranteed, enabling the proposed flexibility provision framework to operate sustainably. Numerical tests on the IEEE test system verify the proposed methods.</t>
  </si>
  <si>
    <t>10.1109/TPWRS.2025.3585511</t>
  </si>
  <si>
    <t>Cyber-Physical Integration Design for Frequency Regulation in Virtual Power Plants Facing Diverse Communication Issues</t>
  </si>
  <si>
    <t>The virtual power plants (VPPs) formed by aggregating distributed energy resources on the demand side have high potential in frequency regulation of power systems. However, due to the complexity of real communication network, diverse communication issues, such as random packets loss and malicious cyber-attacks, may cause undesirable power dispatch and inaccurate dynamic control. This brings great challenges to the participation of VPPs in frequency regulation. To bypass these hurdles, we propose a cyber-physical integration design to facilitate VPPs frequency regulation in a real-time and reliable manner. First, we suggest a joint design scheme of VPPs power dispatch and communication resources allocation for packets loss under cloud-edge collaboration. That is, in the physical-layer, we propose the VPPs power dispatch under packets loss and in the cyber-layer, we develop the communication resources allocation strategy. This scheme aims to eliminate the packets loss impacts and thus determine accurate power dispatch. Second, we present a high reliable information transmission approach for preventing cyber-attacks under edge-end collaboration. Specifically, in the physical-layer, we implement dynamic control for responding to received regulation power and in the cyber-layer, we execute digital signcryption algorithm. Its objective is to improve system information transmission against cyber-attacks and thus ensure the accurate dynamic control. Finally, simulation results validate the feasibility and superiority of our proposed integration design.</t>
  </si>
  <si>
    <t>10.1109/TPWRS.2023.3270366</t>
  </si>
  <si>
    <t>Reduced-Order Model for Wind-Solar Multi-Microgrids Considering Time-Scale Coupling</t>
  </si>
  <si>
    <t>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</si>
  <si>
    <t>10.1109/TPWRS.2023.3246522</t>
  </si>
  <si>
    <t>A Bidirectional Virtual Inertia Control Strategy for the Interconnected Converter of Standalone AC/DC Hybrid Microgrids</t>
  </si>
  <si>
    <t>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</si>
  <si>
    <t>10.1109/TPWRS.2023.3304717</t>
  </si>
  <si>
    <t>Applying High-Performance Computing to the European Resource Adequacy Assessment</t>
  </si>
  <si>
    <t>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</si>
  <si>
    <t>10.1109/TPWRS.2023.3240079</t>
  </si>
  <si>
    <t>Optimal Offering of Energy Storage in Electricity Markets With Loop Blocks</t>
  </si>
  <si>
    <t>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</si>
  <si>
    <t>10.1109/TPWRS.2023.3276736</t>
  </si>
  <si>
    <t>False Data Injection Attack and Corresponding Countermeasure in Multienergy Systems</t>
  </si>
  <si>
    <t>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</si>
  <si>
    <t>10.1109/TPWRS.2023.3235193</t>
  </si>
  <si>
    <t>Probabilistic Electricity Price Forecast With Optimal Prediction Interval</t>
  </si>
  <si>
    <t>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</si>
  <si>
    <t>10.1109/TPWRS.2023.3277213</t>
  </si>
  <si>
    <t>Voltage Stability Constrained Economic Dispatch for Multi-Infeed HVDC Power Systems</t>
  </si>
  <si>
    <t>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</si>
  <si>
    <t>10.1109/TPWRS.2023.3273195</t>
  </si>
  <si>
    <t>A Scalable Approach to Large Scale Risk-Averse Distribution Grid Expansion Planning</t>
  </si>
  <si>
    <t>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</si>
  <si>
    <t>10.1109/TPWRS.2023.3274751</t>
  </si>
  <si>
    <t>A Multi-Timescale Coordinated Optimization Framework for Economic Dispatch of Micro-Energy Grid Considering Prediction Error</t>
  </si>
  <si>
    <t>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</si>
  <si>
    <t>10.1109/TPWRS.2023.3328156</t>
  </si>
  <si>
    <t>Computing Cost Curves of Active Distribution Grids Aggregated Flexibility for TSO-DSO Coordination</t>
  </si>
  <si>
    <t>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</si>
  <si>
    <t>10.1109/TPWRS.2023.3278266</t>
  </si>
  <si>
    <t>Situation-Aware Load Restoration Considering Uncertainty and Correlation</t>
  </si>
  <si>
    <t>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</si>
  <si>
    <t>10.1109/TPWRS.2023.3287910</t>
  </si>
  <si>
    <t>A Leakage-Current Vectors Fault Location Method for Undersea Observation Networks With Poor Data Quality</t>
  </si>
  <si>
    <t>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</si>
  <si>
    <t>10.1109/TPWRS.2023.3249825</t>
  </si>
  <si>
    <t>The Most Frequent N-k Line Outages Occur in Motifs That Can Improve Contingency Selection</t>
  </si>
  <si>
    <t>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</si>
  <si>
    <t>10.1109/TPWRS.2023.3295388</t>
  </si>
  <si>
    <t>A Perturbation Observer-Based Fast Frequency Support for Low-Inertia Power Grids Through VSC-HVDC Systems</t>
  </si>
  <si>
    <t>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</si>
  <si>
    <t>10.1109/TPWRS.2023.3250648</t>
  </si>
  <si>
    <t>Synthesis Load Model With Renewable Energy Sources for Transient Stability Studies</t>
  </si>
  <si>
    <t>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</si>
  <si>
    <t>10.1109/TPWRS.2023.3274734</t>
  </si>
  <si>
    <t>A Linked Swing Contract Market Design With High Renewable Penetration and Battery Firming</t>
  </si>
  <si>
    <t>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</si>
  <si>
    <t>10.1109/TPWRS.2023.3268337</t>
  </si>
  <si>
    <t>Risk-Averse Optimal Combining Forecasts for Renewable Energy Trading Under CVaR Assessment of Forecast Errors</t>
  </si>
  <si>
    <t>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</si>
  <si>
    <t>10.1109/TPWRS.2023.3271325</t>
  </si>
  <si>
    <t>A Novel Sequence to Sequence Data Modelling Based CNN-LSTM Algorithm for Three Years Ahead Monthly Peak Load Forecasting</t>
  </si>
  <si>
    <t>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"New South Wales (NSW)", Australia. The numerical results show that, proposed method has achieved higher prediction accuracy compared to the existing work on long-term load forecasting.</t>
  </si>
  <si>
    <t>10.1109/TPWRS.2023.3248941</t>
  </si>
  <si>
    <t>Using SHAP Values and Machine Learning to Understand Trends in the Transient Stability Limit</t>
  </si>
  <si>
    <t>Machine learning (ML) for transient stability assessment has gained traction due to the significant increase in computational requirements as renewables connect to power systems. To achieve a high degree of accuracy; black-box ML models are often required - inhibiting interpretation of predictions and consequently reducing confidence in the use of such methods. This paper proposes the use of SHapley Additive exPlanations (SHAP) - a unifying interpretability framework based on Shapley values from cooperative game theory -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</si>
  <si>
    <t>10.1109/TPWRS.2023.3242868</t>
  </si>
  <si>
    <t>Distributed Data-Driven Optimization for Voltage Regulation in Distribution Systems</t>
  </si>
  <si>
    <t>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</si>
  <si>
    <t>10.1109/TPWRS.2023.3279130</t>
  </si>
  <si>
    <t>Optimal Sizing and Pricing of Grid-Connected Renewable Power to Ammonia Systems Considering the Limited Flexibility of Ammonia Synthesis</t>
  </si>
  <si>
    <t>Converting renewable energy into ammonia has been recognized as a promising way to realize "green hydrogen substitution"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</si>
  <si>
    <t>10.1109/TPWRS.2023.3257129</t>
  </si>
  <si>
    <t>Multi-Stage Decision Rules for Power Generation &amp; Storage Investments With Performance Guarantees</t>
  </si>
  <si>
    <t>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 yet poorly scalable -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</si>
  <si>
    <t>10.1109/TPWRS.2023.3248293</t>
  </si>
  <si>
    <t>Analytic Deep Learning and Stepwise Integrated Gradients-Based Power System Transient Stability Preventive Control</t>
  </si>
  <si>
    <t>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</si>
  <si>
    <t>10.1109/TPWRS.2023.3253861</t>
  </si>
  <si>
    <t>A Capacity Adequacy Mechanism Based on Optional Option and Its Impact on Generation Mix Equilibrium</t>
  </si>
  <si>
    <t>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</si>
  <si>
    <t>10.1109/TPWRS.2023.3258740</t>
  </si>
  <si>
    <t>GRNN-Based Real-Time Fault Chain Prediction</t>
  </si>
  <si>
    <t>This paper proposes a data-driven graphical framework for the real-time search of risky cascading fault chains (${\sf FCs}$). While identifying risky ${\sf FCs}$ is pivotal to alleviating cascading failures, the complex spatio-temporal dependencies among the components of the power system render challenges to modeling and analyzing ${\sf FCs}$. Furthermore, the real-time search of risky ${\sf FCs}$ faces an inherent combinatorial complexity that grows exponentially with the size of the system. The proposed framework leverages the recent advances in graph recurrent neural networks to circumvent the computational complexities of the real-time search of ${\sf FCs}$. The search process is formalized as a partially observable Markov decision process (${\sf POMDP}$), which is subsequently solved via a time-varying graph recurrent neural network (${\sf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${\sf GRNN}$. The proposed framework's efficiency is compared to the relevant literature on the IEEE 39-bus New England system and the IEEE 118-bus system.</t>
  </si>
  <si>
    <t>10.1109/TPWRS.2023.3244919</t>
  </si>
  <si>
    <t>Chance-Constrained Pre-Contingency Joint Self- Scheduling of Energy and Reserve in VPP</t>
  </si>
  <si>
    <t>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vis-á-vis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</si>
  <si>
    <t>10.1109/TPWRS.2023.3239793</t>
  </si>
  <si>
    <t>Multiagent-Based Nonlinear Generalized Minimum Variance Control for Islanded AC Microgrids</t>
  </si>
  <si>
    <t>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</si>
  <si>
    <t>10.1109/TPWRS.2023.3239663</t>
  </si>
  <si>
    <t>A Framework for Analyzing System Loadability With Multiple VSCs Using a Hybrid Model</t>
  </si>
  <si>
    <t>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</si>
  <si>
    <t>10.1109/TPWRS.2023.3247439</t>
  </si>
  <si>
    <t>Domain of Stability Characterization for Power Systems: A Novel Individual Invariance Method</t>
  </si>
  <si>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</si>
  <si>
    <t>10.1109/TPWRS.2023.3278300</t>
  </si>
  <si>
    <t>DTformer: An Efficient Digital Twin Model for Loss Measurement in UHVDC Transmission Systems</t>
  </si>
  <si>
    <t>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</si>
  <si>
    <t>10.1109/TPWRS.2023.3288887</t>
  </si>
  <si>
    <t>Combined Data-Driven and Model-Driven Location of Lightning Strikes: Application to Meshed HVDC Grids</t>
  </si>
  <si>
    <t>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</si>
  <si>
    <t>10.1109/TPWRS.2023.3236397</t>
  </si>
  <si>
    <t>Computational Performance Enhancement Strategies for Risk-Averse Two-Stage Stochastic Generation and Transmission Network Expansion Planning</t>
  </si>
  <si>
    <t>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</si>
  <si>
    <t>10.1109/TPWRS.2023.3286459</t>
  </si>
  <si>
    <t>A Novel Decentralized Frequency Regulation Method of Renewable Energy Stations Based on Minimum Reserve Capacity for Renewable Energy-Dominated Power Systems</t>
  </si>
  <si>
    <t>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</si>
  <si>
    <t>10.1109/TPWRS.2023.3277076</t>
  </si>
  <si>
    <t>Deep Transfer Learning Based Surrogate Modeling for Optimal Investment Decision of Distribution Networks</t>
  </si>
  <si>
    <t>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</si>
  <si>
    <t>10.1109/TPWRS.2023.3281498</t>
  </si>
  <si>
    <t>Deep Learning-Based Equivalent Modelling of Hybrid RES Plant for Efficient, Repetitive Power System Transient Stability Studies</t>
  </si>
  <si>
    <t>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</si>
  <si>
    <t>10.1109/TPWRS.2023.3303206</t>
  </si>
  <si>
    <t>Robust Synchronization of Multiple Converter-Based Weak Microgrids for Smooth Interconnection</t>
  </si>
  <si>
    <t>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$H_\infty$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</si>
  <si>
    <t>10.1109/TPWRS.2023.3286173</t>
  </si>
  <si>
    <t>Uncertainty Quantification of Capacitor Switching Transient Location Using Machine Learning</t>
  </si>
  <si>
    <t>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</si>
  <si>
    <t>10.1109/TPWRS.2023.3257259</t>
  </si>
  <si>
    <t>Online Preventive Control for Transmission Overload Relief Using Safe Reinforcement Learning With Enhanced Spatial-Temporal Awareness</t>
  </si>
  <si>
    <t>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</si>
  <si>
    <t>10.1109/TPWRS.2023.3241307</t>
  </si>
  <si>
    <t>Risk Assessment of Post-Fault Temporary Overvoltage Using Generalized Short-Circuit Ratio</t>
  </si>
  <si>
    <t>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</si>
  <si>
    <t>10.1109/TPWRS.2023.3266369</t>
  </si>
  <si>
    <t>Forwardformer: Efficient Transformer With Multi-Scale Forward Self-Attention for Day-Ahead Load Forecasting</t>
  </si>
  <si>
    <t>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</si>
  <si>
    <t>10.1109/TPWRS.2023.3288018</t>
  </si>
  <si>
    <t>Equivalence of Impedance Participation Analysis Methods for Hybrid AC/DC Power Systems</t>
  </si>
  <si>
    <t>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</si>
  <si>
    <t>10.1109/TPWRS.2023.3270863</t>
  </si>
  <si>
    <t>Distributed Fixed-Time Transient Stability Control Scheme for Power Systems With Heterogeneous Dynamics</t>
  </si>
  <si>
    <t>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</si>
  <si>
    <t>10.1109/TPWRS.2023.3238409</t>
  </si>
  <si>
    <t>Network Robustness Based Transient Stability Optimisation via Scheduling and Switching</t>
  </si>
  <si>
    <t>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</si>
  <si>
    <t>10.1109/TPWRS.2023.3268246</t>
  </si>
  <si>
    <t>Evaluation of Grid Support Capacity From Electrified Railways</t>
  </si>
  <si>
    <t>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</si>
  <si>
    <t>10.1109/TPWRS.2023.3258066</t>
  </si>
  <si>
    <t>Non-Iterative Solution for Coordinated Optimal Dispatch via Equivalent Projection-Part I: Theory</t>
  </si>
  <si>
    <t>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</si>
  <si>
    <t>10.1109/TPWRS.2023.3272528</t>
  </si>
  <si>
    <t>Nonlinear Backstepping Control of Grid-Forming Converters in Presence of Grid-Following Converters and Synchronous Generators</t>
  </si>
  <si>
    <t>Grids in near future are going to host synchronous generators (SGs), legacy grid-following converters (GFLCs), and relatively new grid-forming converters (GFCs), where the latter two technologies support converter-interfaced generations. This change is going to introduce new challenges -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</si>
  <si>
    <t>10.1109/TPWRS.2023.3266229</t>
  </si>
  <si>
    <t>Distributed Event-Triggered Control for Power Sharing in Grid-Connected AC Microgrid</t>
  </si>
  <si>
    <t>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</si>
  <si>
    <t>10.1109/TPWRS.2023.3263844</t>
  </si>
  <si>
    <t>Coordinated Low-Carbon Dispatching on Source-Demand Side for Integrated Electricity-Gas System Based on Integrated Demand Response Exchange</t>
  </si>
  <si>
    <t>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</si>
  <si>
    <t>10.1109/TPWRS.2023.3303176</t>
  </si>
  <si>
    <t>Comprehensive-Contribution-Based Primary Frequency Regulation Market Design for the Converter-Integrated Power System</t>
  </si>
  <si>
    <t>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</si>
  <si>
    <t>10.1109/TPWRS.2023.3284556</t>
  </si>
  <si>
    <t>Active Power Sharing Scheme in a PV Integrated DC Microgrid With Composite Energy Storage Devices</t>
  </si>
  <si>
    <t>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${\text{71 kW}}$ PV generating system through simulation.</t>
  </si>
  <si>
    <t>Abstract Index →</t>
  </si>
  <si>
    <t>Abstract Title →</t>
  </si>
  <si>
    <t>Main Program (select) →</t>
  </si>
  <si>
    <t>DER System Services</t>
  </si>
  <si>
    <t>Stability</t>
  </si>
  <si>
    <t>Planning</t>
  </si>
  <si>
    <t>DER C&amp;C</t>
  </si>
  <si>
    <t>IBR</t>
  </si>
  <si>
    <t>System Services</t>
  </si>
  <si>
    <t>Program</t>
  </si>
  <si>
    <t>Question ID</t>
  </si>
  <si>
    <t>Question</t>
  </si>
  <si>
    <t>Row Program (helper)</t>
  </si>
  <si>
    <t>I1 - Power system evolution with high IBR shares</t>
  </si>
  <si>
    <t xml:space="preserve">What is the future of active power balance as the synchronous generation fraction reduces? For example, might tightened or loosened frequency (or similar proxy for active power balance) limits lead to a more reliable, secure, lower-cost IBR-based power system? </t>
  </si>
  <si>
    <t xml:space="preserve">How will protection systems need to change to accommodate high penetrations of IBRs, and what possible actions might an inverter take during a fault that would help fault detection and location? </t>
  </si>
  <si>
    <t xml:space="preserve">How could the IBR control paradigm change from replicating synchronous machines to exploiting wider IBR flexibility without introducing integration challenges during the transition? </t>
  </si>
  <si>
    <t>I2 - IBR design standards and capabilities</t>
  </si>
  <si>
    <t xml:space="preserve">What are the appropriate inverter capabilities and, consequently, control design methods for operation in grids with high percentages of IBRs, and are standard configurations and combinations of services helpful in simplifying operational decision-making? </t>
  </si>
  <si>
    <t xml:space="preserve">What recommendations for standard IBR frequency characteristics and responses should be identified to help system design? For example, should a contribution to damping be mandatory at certain frequencies? </t>
  </si>
  <si>
    <t>CROF</t>
  </si>
  <si>
    <t xml:space="preserve">What requirements (e.g. impedance) should be placed on IBRs to control negative sequence currents for protection and harmonics suppression? </t>
  </si>
  <si>
    <t>St1 - Tools for real-time operation of IBR dominated systems</t>
  </si>
  <si>
    <t>What approaches can be taken to track the dynamic response of IBR-dominated systems near real time and detect any emerging stability problems?</t>
  </si>
  <si>
    <t>St2 - Methods for planning and operation of low-inertia systems</t>
  </si>
  <si>
    <t xml:space="preserve">What methods, including data types, and analyses can be used to identify the risk of poorly damped IBR-induced oscillations in planning studies and trace their root cause? </t>
  </si>
  <si>
    <t>Other</t>
  </si>
  <si>
    <t xml:space="preserve">What analytical tools and models should be provided to planners and operators for robust assessment of system performance in IBR-dominated power grids? </t>
  </si>
  <si>
    <t xml:space="preserve">What methods and tools should be used in planning and/or operation to determine the appropriate mix, location, and capabilities of grid-forming and grid-following inverters to mitigate stability problems for a given power system? </t>
  </si>
  <si>
    <t>In what form and fidelity should the original equipment manufacturers/developers and system operators exchange the IBR and grid models for comprehensive stability assurance of IBR-dominated grids?</t>
  </si>
  <si>
    <t>D3 - Bulk system services</t>
  </si>
  <si>
    <t>What mechanisms and appropriate aggregate DER representations and data are necessary to account for DERs in system-wide operation and planning, and in techno economic evaluation?</t>
  </si>
  <si>
    <t>How can system operators quantify the bulk-level energy and service opportunities from DER, and how can these services be shared among distribution operators, bulk operators, aggregators and (where applicable) customers?</t>
  </si>
  <si>
    <t>How can bulk-level services provided by DER be valued as a compromise between simplicity and, for example, a complex full cost-reflective approach?</t>
  </si>
  <si>
    <t>DER Comunicationand&amp; Control (C&amp;C)</t>
  </si>
  <si>
    <t>D1 - DER Aggregation, measurement &amp; control</t>
  </si>
  <si>
    <t>What aggregate quantities must be monitored, screened, and validated to ensure reliable service provision from different DER categories and at what
temporal and/or spatial resolution must these processes occur?</t>
  </si>
  <si>
    <t>What is the communication capability needed to support monitoring and coordination of DER in terms of reliability, latency, bandwidth and (cyber) security?</t>
  </si>
  <si>
    <t>D2 - Data and control architecture</t>
  </si>
  <si>
    <t>What is a scalable data architecture for DER monitoring, modelling, and coordination in real-time that would be suitable for the control room?</t>
  </si>
  <si>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</si>
  <si>
    <t>C1 - Flexibility assessment</t>
  </si>
  <si>
    <t>How can the capabilities of grid-enhancing technologies (such as FACTS,SPS, RAS, DLR, PFC, WAMPAC) be integrated into the operational decision-making process?</t>
  </si>
  <si>
    <t>How can grid topology be flexibly adapted to be reliably integrated into the operational decision-making process with outage scheduling, transfer limit increase, and post contingency remedial actions?</t>
  </si>
  <si>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</si>
  <si>
    <t>C2 - Data and digital architecture</t>
  </si>
  <si>
    <t>What type of digital architecture is best placed to enable modularity and the variety of software required to operate a control room in real time, near-real time, and in auto pilot mode?</t>
  </si>
  <si>
    <t>What is the best way to integrate large datasets, streaming information, and historical system performance to create actionable operational insights in an increasingly complex environment with multiple phenomena occurring within overlapping timescales?</t>
  </si>
  <si>
    <t>C3 - Security assessment</t>
  </si>
  <si>
    <t>How can the risk of high-impact low-probability events (weather-related and otherwise) be incorporated into security assessments in real time and operations planning?</t>
  </si>
  <si>
    <t>What metrics and their definitions (system strength, inertia, or others) need to be appropriately monitored or calculated to assess system dynamic behavior in real time, and what monitoring capabilities are necessary to support these assessments?</t>
  </si>
  <si>
    <t>C4 - Visualization</t>
  </si>
  <si>
    <t>What improvements can be made to predictive tools and visualization methodologies in operational applications within the control room to support decision-making in real-time operations?</t>
  </si>
  <si>
    <t>C5 - Forecasting</t>
  </si>
  <si>
    <t>How can risk-based methods (e.g. probabilistic forecasting techniques) be better incorporated into operational decision-support tools and used consistently across multiple stages (e.g., real-time, day ahead, intraday planning)?</t>
  </si>
  <si>
    <t>SS1 - System needs</t>
  </si>
  <si>
    <t>What system services are needed across different timescales and to the extent that services coexist within the same timescale, how should these services be designed to avoid competition and overlap? </t>
  </si>
  <si>
    <t>What are the needs of a power system expressed in technologically neutral form and how do these needs map to services that any resource (including data centers, other IBRs, DERs, high-voltage direct current links, etc.) can provide? </t>
  </si>
  <si>
    <t>How can system performance requirements be translated into reliable new technology solutions? </t>
  </si>
  <si>
    <t>For each service, how feasible is it to provide from IBR, what “cost” does it add, what limitations exist on its magnitude and duration and what are the trade-offs between the provision of services? </t>
  </si>
  <si>
    <t>SS2 - Services design</t>
  </si>
  <si>
    <t>How should system restoration services be structured and organized in systems with few or no synchronous machines, relying on IBR technologies and variable energy resources? </t>
  </si>
  <si>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t>
  </si>
  <si>
    <t>What methods could determine the need, sufficiency, and locational nature of IBR voltage control and system strength services for a given area? </t>
  </si>
  <si>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t>
  </si>
  <si>
    <t>What system services can be designed to enable response from IBRs that can be a substitute for inertia (i.e. very fast frequency response)?  </t>
  </si>
  <si>
    <t>P2 - Resource Adequacy</t>
  </si>
  <si>
    <t>What studies and metrics are required to identify long-term scarcity of resources (capacity, energy, flexibility etc.) to maintain reliability?   </t>
  </si>
  <si>
    <t>How should grid enhancing technologies be included in the planning processes? </t>
  </si>
  <si>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t>
  </si>
  <si>
    <t>What studies and metrics are required to evaluate resource adequacy with hybrid plants (e.g., photovoltaics-plus-storage) and virtual power plants? </t>
  </si>
  <si>
    <t>P1 - Planning under uncertainty</t>
  </si>
  <si>
    <t>What additional probabilistic planning methods and tools are necessary for planning a power system with a high share of IBRs and in particular, variable renewable energy resources? </t>
  </si>
  <si>
    <t>What additional planning models and methods are needed to plan for various levels of uncertainty and no-regrets investments in a paradigm of increasing electrification and growing IBR and DER penetrations? </t>
  </si>
  <si>
    <t>What changes can be incorporated into the transmission planning process, especially inter-regional planning, to unlock multi-value system benefits and accommodate new drivers of uncertainty (e.g., large growth due to electrification or low growth due to increased use of DERs)? </t>
  </si>
  <si>
    <t>What methods, processes, and products (e.g. services) can support effective valuation, integration, and procurement of long-duration energy storage? </t>
  </si>
  <si>
    <t>What additional load and resource forecasting models are necessary to account for electrification, including large loads (e.g., data centers), coupling of the transportation and building sectors, and demand-side flexibility? </t>
  </si>
  <si>
    <t>P3 - Extreme events</t>
  </si>
  <si>
    <t>What additional methods, tools, and metrics are necessary to incorporate resilience concepts and the ability to recover and adapt to adverse conditions, considering uncertain future states into planning a power system with a high share of renewables? </t>
  </si>
  <si>
    <t>How do system operators adequately account for the overall system impact of extreme events in planning studies, particularly those that impact the system with a high share of flexible resources in both supply and demand (wind, solar, demand-side flexibility)? </t>
  </si>
  <si>
    <t>What additional planning models and methods are needed to plan for a system that can withstand expected or unexpected lulls (e.g., an extended wind drought, or a dunkelflaute)?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</si>
</sst>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sz val="9"/>
      <name val="Aptos Narrow"/>
      <family val="2"/>
    </font>
    <font>
      <sz val="11"/>
      <name val="Calibri"/>
      <family val="2"/>
      <scheme val="minor"/>
    </font>
    <font>
      <sz val="10"/>
      <name val="Calibri"/>
      <family val="2"/>
      <scheme val="minor"/>
    </font>
    <font>
      <sz val="12"/>
      <name val="Calibri"/>
      <family val="2"/>
      <scheme val="minor"/>
    </font>
    <font>
      <sz val="9"/>
      <color theme="1"/>
      <name val="Calibri"/>
      <family val="2"/>
      <scheme val="minor"/>
    </font>
    <font>
      <b/>
      <sz val="9"/>
      <color indexed="81"/>
      <name val="Tahoma"/>
      <family val="2"/>
    </font>
    <font>
      <sz val="9"/>
      <color indexed="81"/>
      <name val="Tahoma"/>
      <family val="2"/>
    </font>
    <font>
      <sz val="11"/>
      <name val="Aptos Narrow"/>
      <family val="2"/>
    </font>
    <font>
      <sz val="9"/>
      <color rgb="FF808080"/>
      <name val="Calibri"/>
      <family val="2"/>
      <scheme val="minor"/>
    </font>
    <font>
      <i/>
      <sz val="9"/>
      <color rgb="FF808080"/>
      <name val="Calibri"/>
      <family val="2"/>
      <scheme val="minor"/>
    </font>
    <font>
      <sz val="9"/>
      <color indexed="81"/>
      <name val="Tahoma"/>
      <charset val="1"/>
    </font>
    <font>
      <sz val="9"/>
      <color rgb="FF000000"/>
      <name val="Calibri"/>
      <scheme val="minor"/>
    </font>
    <font>
      <b/>
      <sz val="9"/>
      <color indexed="81"/>
      <name val="Tahoma"/>
      <charset val="1"/>
    </font>
  </fonts>
  <fills count="5">
    <fill>
      <patternFill patternType="none"/>
    </fill>
    <fill>
      <patternFill patternType="gray125"/>
    </fill>
    <fill>
      <patternFill patternType="solid">
        <fgColor rgb="FFB8CCE4"/>
        <bgColor indexed="64"/>
      </patternFill>
    </fill>
    <fill>
      <patternFill patternType="solid">
        <fgColor theme="0"/>
        <bgColor indexed="64"/>
      </patternFill>
    </fill>
    <fill>
      <patternFill patternType="solid">
        <fgColor rgb="FFD9D9D9"/>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30">
    <xf numFmtId="0" fontId="0" fillId="0" borderId="0" xfId="0"/>
    <xf numFmtId="0" fontId="0" fillId="2" borderId="1" xfId="0" applyFill="1" applyBorder="1" applyAlignment="1">
      <alignment horizontal="center" vertical="center"/>
    </xf>
    <xf numFmtId="0" fontId="2" fillId="3" borderId="2" xfId="0" applyFont="1" applyFill="1" applyBorder="1" applyAlignment="1">
      <alignment vertical="center" wrapText="1"/>
    </xf>
    <xf numFmtId="0" fontId="3"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xf>
    <xf numFmtId="0" fontId="2" fillId="3" borderId="3" xfId="0" applyFont="1" applyFill="1" applyBorder="1" applyAlignment="1">
      <alignment vertical="center" wrapText="1"/>
    </xf>
    <xf numFmtId="0" fontId="1" fillId="4" borderId="4" xfId="0" applyFont="1" applyFill="1" applyBorder="1" applyAlignment="1">
      <alignment horizontal="right"/>
    </xf>
    <xf numFmtId="0" fontId="1" fillId="4" borderId="5" xfId="0" applyFont="1" applyFill="1" applyBorder="1"/>
    <xf numFmtId="0" fontId="1" fillId="4" borderId="6" xfId="0" applyFont="1" applyFill="1" applyBorder="1"/>
    <xf numFmtId="0" fontId="1" fillId="0" borderId="0" xfId="0" applyFont="1" applyAlignment="1">
      <alignment horizontal="right"/>
    </xf>
    <xf numFmtId="0" fontId="0" fillId="0" borderId="0" xfId="0" applyAlignment="1">
      <alignment vertical="top"/>
    </xf>
    <xf numFmtId="0" fontId="1" fillId="0" borderId="0" xfId="0" applyFont="1" applyAlignment="1">
      <alignment horizontal="right" vertical="top"/>
    </xf>
    <xf numFmtId="0" fontId="1" fillId="0" borderId="0" xfId="0" applyFont="1"/>
    <xf numFmtId="0" fontId="0" fillId="0" borderId="0" xfId="0" applyAlignment="1">
      <alignment vertical="top" wrapText="1"/>
    </xf>
    <xf numFmtId="0" fontId="10" fillId="0" borderId="0" xfId="0" applyFont="1"/>
    <xf numFmtId="0" fontId="11" fillId="0" borderId="0" xfId="0" applyFont="1"/>
    <xf numFmtId="0" fontId="0" fillId="3" borderId="0" xfId="0" applyFill="1" applyAlignment="1">
      <alignment vertical="top" wrapText="1"/>
    </xf>
    <xf numFmtId="0" fontId="0" fillId="3" borderId="0" xfId="0" applyFill="1"/>
    <xf numFmtId="0" fontId="1" fillId="3" borderId="0" xfId="0" applyFont="1" applyFill="1"/>
    <xf numFmtId="0" fontId="0" fillId="3" borderId="0" xfId="0" applyFill="1" applyAlignment="1">
      <alignment wrapText="1"/>
    </xf>
    <xf numFmtId="0" fontId="6" fillId="0" borderId="2" xfId="0" applyFont="1" applyBorder="1" applyAlignment="1">
      <alignment vertical="top" wrapText="1"/>
    </xf>
    <xf numFmtId="0" fontId="0" fillId="2" borderId="7" xfId="0" applyFill="1" applyBorder="1" applyAlignment="1">
      <alignment horizontal="center"/>
    </xf>
    <xf numFmtId="0" fontId="1" fillId="0" borderId="2" xfId="0" applyFont="1" applyBorder="1" applyAlignment="1">
      <alignment horizontal="center"/>
    </xf>
    <xf numFmtId="0" fontId="13" fillId="0" borderId="2" xfId="0" applyFont="1" applyBorder="1" applyAlignment="1">
      <alignment vertical="top" wrapText="1"/>
    </xf>
    <xf numFmtId="0" fontId="9"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3" fillId="3" borderId="2" xfId="0" applyFont="1" applyFill="1" applyBorder="1" applyAlignment="1">
      <alignment horizontal="center" vertical="center" wrapText="1"/>
    </xf>
  </cellXfs>
  <cellStyles count="1">
    <cellStyle name="Normal" xfId="0" builtinId="0"/>
  </cellStyles>
  <dxfs count="1">
    <dxf>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imperiallondon-my.sharepoint.com/personal/pgallego_ic_ac_uk/Documents/RA/Research%20agenda/G-PST%20shared%20folder/Research%20Repository%202026%20Update/Data%20collection/contacting%20contributors/Responses/Shared%20projects/GPST%20Research%20Repository%20-%20Dobschinski%20Jan.xlsx" TargetMode="External"/><Relationship Id="rId2" Type="http://schemas.microsoft.com/office/2019/04/relationships/externalLinkLongPath" Target="/personal/pgallego_ic_ac_uk/Documents/RA/Research%20agenda/G-PST%20shared%20folder/Research%20Repository%202026%20Update/to%20delete/Data%20collection/contacting%20contributors/Responses/Shared%20projects/GPST%20Research%20Repository%20-%20Dobschinski%20Jan.xlsx?5A545097" TargetMode="External"/><Relationship Id="rId1" Type="http://schemas.openxmlformats.org/officeDocument/2006/relationships/externalLinkPath" Target="file:///\\5A545097\GPST%20Research%20Repository%20-%20Dobschinski%20Jan.xlsx" TargetMode="External"/><Relationship Id="rId4" Type="http://schemas.openxmlformats.org/officeDocument/2006/relationships/externalLinkPath" Target="../../../Research%20Repository%202026%20Update/to%20delete/Data%20collection/contacting%20contributors/Responses/Shared%20projects/GPST%20Research%20Repository%20-%20Dobschinski%20Ja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search%20Repository%202026%20Update/to%20delete/GPST%20Research%20Repository%20Master%20File.xlsx" TargetMode="External"/><Relationship Id="rId2" Type="http://schemas.openxmlformats.org/officeDocument/2006/relationships/externalLinkPath" Target="https://imperiallondon-my.sharepoint.com/personal/pgallego_ic_ac_uk/Documents/RA/Research%20agenda/G-PST%20shared%20folder/Research%20Repository%202026%20Update/to%20delete/GPST%20Research%20Repository%20Master%20File.xlsx" TargetMode="External"/><Relationship Id="rId1" Type="http://schemas.openxmlformats.org/officeDocument/2006/relationships/externalLinkPath" Target="/personal/pgallego_ic_ac_uk/Documents/RA/Research%20agenda/G-PST%20shared%20folder/Research%20Repository%202026%20Update/to%20delete/GPST%20Research%20Repository%20Master%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To Fill In"/>
      <sheetName val="Description"/>
      <sheetName val="Research Agenda Questions"/>
      <sheetName val="Previous Projects"/>
      <sheetName val="Lookups"/>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ster List"/>
      <sheetName val="2026 Master List"/>
      <sheetName val="2024 Master List"/>
      <sheetName val="Lookups"/>
      <sheetName val="Project listing new RQa"/>
    </sheetNames>
    <sheetDataSet>
      <sheetData sheetId="0" refreshError="1"/>
      <sheetData sheetId="1" refreshError="1"/>
      <sheetData sheetId="2" refreshError="1"/>
      <sheetData sheetId="3"/>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 dockstate="right" visibility="0" width="525"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612E603-B942-45C2-BF6A-5ACC807DFB20}">
  <we:reference id="WA200009404" version="1.0.0.8" store="Omex" storeType="OMEX"/>
  <we:alternateReferences>
    <we:reference id="WA200009404" version="1.0.0.8" store="WA200009404" storeType="OMEX"/>
  </we:alternateReferences>
  <we:properties>
    <we:property name="claude.fileId" value="&quot;6cb87ebf-93f1-47d2-b469-f9066d843e9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BFA97B5B-AB69-460D-ADF2-C321D94B85A0}">
  <we:reference id="WA200010725" version="1.0.0.1" store="Omex" storeType="OMEX"/>
  <we:alternateReferences>
    <we:reference id="WA200010725" version="1.0.0.1" store="WA200010725" storeType="OMEX"/>
  </we:alternateReferences>
  <we:properties>
    <we:property name="claude.fileId" value="&quot;a26123a5-adf7-409e-baee-de739f7ff99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7654F-40FC-4478-B2BA-3086A69AA25E}">
  <sheetPr codeName="Sheet1"/>
  <dimension ref="A1:A11"/>
  <sheetViews>
    <sheetView workbookViewId="0"/>
  </sheetViews>
  <sheetFormatPr defaultColWidth="9.140625" defaultRowHeight="15"/>
  <cols>
    <col min="1" max="1" width="201.5703125" style="18" customWidth="1"/>
    <col min="2" max="16384" width="9.140625" style="18"/>
  </cols>
  <sheetData>
    <row r="1" spans="1:1" ht="409.5">
      <c r="A1" s="17" t="s">
        <v>0</v>
      </c>
    </row>
    <row r="2" spans="1:1">
      <c r="A2" s="17"/>
    </row>
    <row r="4" spans="1:1">
      <c r="A4" s="19" t="s">
        <v>1</v>
      </c>
    </row>
    <row r="5" spans="1:1" ht="90">
      <c r="A5" s="17" t="s">
        <v>2</v>
      </c>
    </row>
    <row r="6" spans="1:1" ht="90">
      <c r="A6" s="17" t="s">
        <v>3</v>
      </c>
    </row>
    <row r="7" spans="1:1" ht="90">
      <c r="A7" s="17" t="s">
        <v>4</v>
      </c>
    </row>
    <row r="8" spans="1:1" ht="90">
      <c r="A8" s="17" t="s">
        <v>5</v>
      </c>
    </row>
    <row r="9" spans="1:1" ht="90">
      <c r="A9" s="17" t="s">
        <v>6</v>
      </c>
    </row>
    <row r="10" spans="1:1" ht="75">
      <c r="A10" s="17" t="s">
        <v>7</v>
      </c>
    </row>
    <row r="11" spans="1:1">
      <c r="A11"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8F4A-4753-4489-9404-08A2D224C1DE}">
  <sheetPr codeName="Sheet4"/>
  <dimension ref="A1:E106"/>
  <sheetViews>
    <sheetView tabSelected="1" topLeftCell="A99" workbookViewId="0">
      <selection activeCell="C101" sqref="C101"/>
    </sheetView>
  </sheetViews>
  <sheetFormatPr defaultRowHeight="15"/>
  <cols>
    <col min="1" max="1" width="26.42578125" bestFit="1" customWidth="1"/>
    <col min="2" max="2" width="14.85546875" customWidth="1"/>
    <col min="3" max="3" width="210.140625" customWidth="1"/>
    <col min="4" max="4" width="18.85546875" bestFit="1" customWidth="1"/>
    <col min="5" max="5" width="12.140625" bestFit="1" customWidth="1"/>
    <col min="6" max="6" width="5.42578125" bestFit="1" customWidth="1"/>
  </cols>
  <sheetData>
    <row r="1" spans="1:5">
      <c r="A1" s="13" t="s">
        <v>8</v>
      </c>
      <c r="B1" s="13" t="s">
        <v>9</v>
      </c>
      <c r="C1" s="13" t="s">
        <v>10</v>
      </c>
    </row>
    <row r="2" spans="1:5" ht="135">
      <c r="A2" s="11" t="s">
        <v>11</v>
      </c>
      <c r="B2" s="14" t="s">
        <v>12</v>
      </c>
      <c r="C2" s="14" t="s">
        <v>13</v>
      </c>
    </row>
    <row r="3" spans="1:5" ht="105">
      <c r="A3" s="11" t="s">
        <v>14</v>
      </c>
      <c r="B3" s="14" t="s">
        <v>15</v>
      </c>
      <c r="C3" s="14" t="s">
        <v>16</v>
      </c>
      <c r="E3" s="11"/>
    </row>
    <row r="4" spans="1:5" ht="165">
      <c r="A4" s="11" t="s">
        <v>17</v>
      </c>
      <c r="B4" s="14" t="s">
        <v>18</v>
      </c>
      <c r="C4" s="14" t="s">
        <v>19</v>
      </c>
      <c r="E4" s="11"/>
    </row>
    <row r="5" spans="1:5" ht="165">
      <c r="A5" s="11" t="s">
        <v>20</v>
      </c>
      <c r="B5" s="14" t="s">
        <v>21</v>
      </c>
      <c r="C5" s="14" t="s">
        <v>22</v>
      </c>
      <c r="E5" s="11"/>
    </row>
    <row r="6" spans="1:5" ht="135">
      <c r="A6" s="11" t="s">
        <v>23</v>
      </c>
      <c r="B6" s="14" t="s">
        <v>24</v>
      </c>
      <c r="C6" s="14" t="s">
        <v>25</v>
      </c>
      <c r="E6" s="11"/>
    </row>
    <row r="7" spans="1:5" ht="90">
      <c r="A7" s="11" t="s">
        <v>26</v>
      </c>
      <c r="B7" s="14" t="s">
        <v>27</v>
      </c>
      <c r="C7" s="14" t="s">
        <v>28</v>
      </c>
      <c r="E7" s="11"/>
    </row>
    <row r="8" spans="1:5" ht="135">
      <c r="A8" s="11" t="s">
        <v>29</v>
      </c>
      <c r="B8" s="14" t="s">
        <v>30</v>
      </c>
      <c r="C8" s="14" t="s">
        <v>31</v>
      </c>
      <c r="E8" s="11"/>
    </row>
    <row r="9" spans="1:5" ht="120">
      <c r="A9" s="11" t="s">
        <v>32</v>
      </c>
      <c r="B9" s="14" t="s">
        <v>33</v>
      </c>
      <c r="C9" s="14" t="s">
        <v>34</v>
      </c>
      <c r="E9" s="11"/>
    </row>
    <row r="10" spans="1:5" ht="135">
      <c r="A10" s="11" t="s">
        <v>35</v>
      </c>
      <c r="B10" s="14" t="s">
        <v>36</v>
      </c>
      <c r="C10" s="14" t="s">
        <v>37</v>
      </c>
      <c r="E10" s="11"/>
    </row>
    <row r="11" spans="1:5" ht="165">
      <c r="A11" s="11" t="s">
        <v>38</v>
      </c>
      <c r="B11" s="14" t="s">
        <v>39</v>
      </c>
      <c r="C11" s="14" t="s">
        <v>40</v>
      </c>
      <c r="E11" s="11"/>
    </row>
    <row r="12" spans="1:5" ht="135">
      <c r="A12" s="11" t="s">
        <v>41</v>
      </c>
      <c r="B12" s="14" t="s">
        <v>42</v>
      </c>
      <c r="C12" s="14" t="s">
        <v>43</v>
      </c>
      <c r="E12" s="11"/>
    </row>
    <row r="13" spans="1:5" ht="150">
      <c r="A13" s="11" t="s">
        <v>44</v>
      </c>
      <c r="B13" s="14" t="s">
        <v>45</v>
      </c>
      <c r="C13" s="14" t="s">
        <v>46</v>
      </c>
      <c r="E13" s="11"/>
    </row>
    <row r="14" spans="1:5" ht="165">
      <c r="A14" s="11" t="s">
        <v>47</v>
      </c>
      <c r="B14" s="14" t="s">
        <v>48</v>
      </c>
      <c r="C14" s="14" t="s">
        <v>49</v>
      </c>
      <c r="E14" s="11"/>
    </row>
    <row r="15" spans="1:5" ht="150">
      <c r="A15" s="11" t="s">
        <v>50</v>
      </c>
      <c r="B15" s="14" t="s">
        <v>51</v>
      </c>
      <c r="C15" s="14" t="s">
        <v>52</v>
      </c>
      <c r="E15" s="11"/>
    </row>
    <row r="16" spans="1:5" ht="105">
      <c r="A16" s="11" t="s">
        <v>53</v>
      </c>
      <c r="B16" s="14" t="s">
        <v>54</v>
      </c>
      <c r="C16" s="14" t="s">
        <v>55</v>
      </c>
      <c r="E16" s="11"/>
    </row>
    <row r="17" spans="1:5" ht="180">
      <c r="A17" s="11" t="s">
        <v>56</v>
      </c>
      <c r="B17" s="14" t="s">
        <v>57</v>
      </c>
      <c r="C17" s="14" t="s">
        <v>58</v>
      </c>
      <c r="E17" s="11"/>
    </row>
    <row r="18" spans="1:5" ht="180">
      <c r="A18" s="11" t="s">
        <v>59</v>
      </c>
      <c r="B18" s="14" t="s">
        <v>60</v>
      </c>
      <c r="C18" s="14" t="s">
        <v>61</v>
      </c>
      <c r="E18" s="11"/>
    </row>
    <row r="19" spans="1:5" ht="165">
      <c r="A19" s="11" t="s">
        <v>62</v>
      </c>
      <c r="B19" s="14" t="s">
        <v>63</v>
      </c>
      <c r="C19" s="14" t="s">
        <v>64</v>
      </c>
      <c r="E19" s="11"/>
    </row>
    <row r="20" spans="1:5" ht="105">
      <c r="A20" s="11" t="s">
        <v>65</v>
      </c>
      <c r="B20" s="14" t="s">
        <v>66</v>
      </c>
      <c r="C20" s="14" t="s">
        <v>67</v>
      </c>
      <c r="E20" s="11"/>
    </row>
    <row r="21" spans="1:5" ht="135">
      <c r="A21" s="11" t="s">
        <v>68</v>
      </c>
      <c r="B21" s="14" t="s">
        <v>69</v>
      </c>
      <c r="C21" s="14" t="s">
        <v>70</v>
      </c>
      <c r="E21" s="11"/>
    </row>
    <row r="22" spans="1:5" ht="120">
      <c r="A22" s="11" t="s">
        <v>71</v>
      </c>
      <c r="B22" s="14" t="s">
        <v>72</v>
      </c>
      <c r="C22" s="14" t="s">
        <v>73</v>
      </c>
    </row>
    <row r="23" spans="1:5" ht="135">
      <c r="A23" s="11" t="s">
        <v>74</v>
      </c>
      <c r="B23" s="14" t="s">
        <v>75</v>
      </c>
      <c r="C23" s="14" t="s">
        <v>76</v>
      </c>
    </row>
    <row r="24" spans="1:5" ht="120">
      <c r="A24" s="11" t="s">
        <v>77</v>
      </c>
      <c r="B24" s="14" t="s">
        <v>78</v>
      </c>
      <c r="C24" s="14" t="s">
        <v>79</v>
      </c>
    </row>
    <row r="25" spans="1:5" ht="150">
      <c r="A25" s="11" t="s">
        <v>80</v>
      </c>
      <c r="B25" s="14" t="s">
        <v>81</v>
      </c>
      <c r="C25" s="14" t="s">
        <v>82</v>
      </c>
    </row>
    <row r="26" spans="1:5" ht="105">
      <c r="A26" s="11" t="s">
        <v>83</v>
      </c>
      <c r="B26" s="14" t="s">
        <v>84</v>
      </c>
      <c r="C26" s="14" t="s">
        <v>85</v>
      </c>
    </row>
    <row r="27" spans="1:5" ht="150">
      <c r="A27" s="11" t="s">
        <v>86</v>
      </c>
      <c r="B27" s="14" t="s">
        <v>87</v>
      </c>
      <c r="C27" s="14" t="s">
        <v>88</v>
      </c>
    </row>
    <row r="28" spans="1:5" ht="135">
      <c r="A28" s="11" t="s">
        <v>89</v>
      </c>
      <c r="B28" s="14" t="s">
        <v>90</v>
      </c>
      <c r="C28" s="14" t="s">
        <v>91</v>
      </c>
    </row>
    <row r="29" spans="1:5" ht="120">
      <c r="A29" s="11" t="s">
        <v>92</v>
      </c>
      <c r="B29" s="14" t="s">
        <v>93</v>
      </c>
      <c r="C29" s="14" t="s">
        <v>94</v>
      </c>
    </row>
    <row r="30" spans="1:5" ht="180">
      <c r="A30" s="11" t="s">
        <v>95</v>
      </c>
      <c r="B30" s="14" t="s">
        <v>96</v>
      </c>
      <c r="C30" s="14" t="s">
        <v>97</v>
      </c>
    </row>
    <row r="31" spans="1:5" ht="150">
      <c r="A31" s="11" t="s">
        <v>98</v>
      </c>
      <c r="B31" s="14" t="s">
        <v>99</v>
      </c>
      <c r="C31" s="14" t="s">
        <v>100</v>
      </c>
    </row>
    <row r="32" spans="1:5" ht="105">
      <c r="A32" s="11" t="s">
        <v>101</v>
      </c>
      <c r="B32" s="14" t="s">
        <v>102</v>
      </c>
      <c r="C32" s="14" t="s">
        <v>103</v>
      </c>
    </row>
    <row r="33" spans="1:3" ht="120">
      <c r="A33" s="11" t="s">
        <v>104</v>
      </c>
      <c r="B33" s="14" t="s">
        <v>105</v>
      </c>
      <c r="C33" s="14" t="s">
        <v>106</v>
      </c>
    </row>
    <row r="34" spans="1:3" ht="135">
      <c r="A34" s="11" t="s">
        <v>107</v>
      </c>
      <c r="B34" s="14" t="s">
        <v>108</v>
      </c>
      <c r="C34" s="14" t="s">
        <v>109</v>
      </c>
    </row>
    <row r="35" spans="1:3" ht="120">
      <c r="A35" s="11" t="s">
        <v>110</v>
      </c>
      <c r="B35" s="14" t="s">
        <v>111</v>
      </c>
      <c r="C35" s="14" t="s">
        <v>112</v>
      </c>
    </row>
    <row r="36" spans="1:3" ht="105">
      <c r="A36" s="11" t="s">
        <v>113</v>
      </c>
      <c r="B36" s="14" t="s">
        <v>114</v>
      </c>
      <c r="C36" s="14" t="s">
        <v>115</v>
      </c>
    </row>
    <row r="37" spans="1:3" ht="105">
      <c r="A37" s="11" t="s">
        <v>116</v>
      </c>
      <c r="B37" s="14" t="s">
        <v>117</v>
      </c>
      <c r="C37" s="14" t="s">
        <v>118</v>
      </c>
    </row>
    <row r="38" spans="1:3" ht="165">
      <c r="A38" s="11" t="s">
        <v>119</v>
      </c>
      <c r="B38" s="14" t="s">
        <v>120</v>
      </c>
      <c r="C38" s="14" t="s">
        <v>121</v>
      </c>
    </row>
    <row r="39" spans="1:3" ht="75">
      <c r="A39" s="11" t="s">
        <v>122</v>
      </c>
      <c r="B39" s="14" t="s">
        <v>123</v>
      </c>
      <c r="C39" s="14" t="s">
        <v>124</v>
      </c>
    </row>
    <row r="40" spans="1:3" ht="150">
      <c r="A40" s="11" t="s">
        <v>125</v>
      </c>
      <c r="B40" s="14" t="s">
        <v>126</v>
      </c>
      <c r="C40" s="14" t="s">
        <v>127</v>
      </c>
    </row>
    <row r="41" spans="1:3" ht="120">
      <c r="A41" s="11" t="s">
        <v>128</v>
      </c>
      <c r="B41" s="14" t="s">
        <v>129</v>
      </c>
      <c r="C41" s="14" t="s">
        <v>130</v>
      </c>
    </row>
    <row r="42" spans="1:3" ht="165">
      <c r="A42" s="11" t="s">
        <v>131</v>
      </c>
      <c r="B42" s="14" t="s">
        <v>132</v>
      </c>
      <c r="C42" s="14" t="s">
        <v>133</v>
      </c>
    </row>
    <row r="43" spans="1:3" ht="150">
      <c r="A43" s="11" t="s">
        <v>134</v>
      </c>
      <c r="B43" s="14" t="s">
        <v>135</v>
      </c>
      <c r="C43" s="14" t="s">
        <v>136</v>
      </c>
    </row>
    <row r="44" spans="1:3" ht="120">
      <c r="A44" s="11" t="s">
        <v>137</v>
      </c>
      <c r="B44" s="14" t="s">
        <v>138</v>
      </c>
      <c r="C44" s="14" t="s">
        <v>139</v>
      </c>
    </row>
    <row r="45" spans="1:3" ht="165">
      <c r="A45" s="11" t="s">
        <v>140</v>
      </c>
      <c r="B45" s="14" t="s">
        <v>141</v>
      </c>
      <c r="C45" s="14" t="s">
        <v>142</v>
      </c>
    </row>
    <row r="46" spans="1:3" ht="120">
      <c r="A46" s="11" t="s">
        <v>143</v>
      </c>
      <c r="B46" s="14" t="s">
        <v>144</v>
      </c>
      <c r="C46" s="14" t="s">
        <v>145</v>
      </c>
    </row>
    <row r="47" spans="1:3" ht="120">
      <c r="A47" s="11" t="s">
        <v>146</v>
      </c>
      <c r="B47" s="14" t="s">
        <v>147</v>
      </c>
      <c r="C47" s="14" t="s">
        <v>148</v>
      </c>
    </row>
    <row r="48" spans="1:3" ht="165">
      <c r="A48" s="11" t="s">
        <v>149</v>
      </c>
      <c r="B48" s="14" t="s">
        <v>150</v>
      </c>
      <c r="C48" s="14" t="s">
        <v>151</v>
      </c>
    </row>
    <row r="49" spans="1:3" ht="165">
      <c r="A49" s="11" t="s">
        <v>152</v>
      </c>
      <c r="B49" s="14" t="s">
        <v>153</v>
      </c>
      <c r="C49" s="14" t="s">
        <v>154</v>
      </c>
    </row>
    <row r="50" spans="1:3" ht="150">
      <c r="A50" s="11" t="s">
        <v>155</v>
      </c>
      <c r="B50" s="14" t="s">
        <v>156</v>
      </c>
      <c r="C50" s="14" t="s">
        <v>157</v>
      </c>
    </row>
    <row r="51" spans="1:3" ht="165">
      <c r="A51" s="11" t="s">
        <v>158</v>
      </c>
      <c r="B51" s="14" t="s">
        <v>159</v>
      </c>
      <c r="C51" s="14" t="s">
        <v>160</v>
      </c>
    </row>
    <row r="52" spans="1:3" ht="135">
      <c r="A52" s="11" t="s">
        <v>161</v>
      </c>
      <c r="B52" s="14" t="s">
        <v>162</v>
      </c>
      <c r="C52" s="14" t="s">
        <v>163</v>
      </c>
    </row>
    <row r="53" spans="1:3" ht="135">
      <c r="A53" s="11" t="s">
        <v>164</v>
      </c>
      <c r="B53" s="14" t="s">
        <v>165</v>
      </c>
      <c r="C53" s="14" t="s">
        <v>166</v>
      </c>
    </row>
    <row r="54" spans="1:3" ht="120">
      <c r="A54" s="11" t="s">
        <v>167</v>
      </c>
      <c r="B54" s="14" t="s">
        <v>168</v>
      </c>
      <c r="C54" s="14" t="s">
        <v>169</v>
      </c>
    </row>
    <row r="55" spans="1:3" ht="150">
      <c r="A55" s="11" t="s">
        <v>170</v>
      </c>
      <c r="B55" s="14" t="s">
        <v>171</v>
      </c>
      <c r="C55" s="14" t="s">
        <v>172</v>
      </c>
    </row>
    <row r="56" spans="1:3" ht="150">
      <c r="A56" s="11" t="s">
        <v>173</v>
      </c>
      <c r="B56" s="14" t="s">
        <v>174</v>
      </c>
      <c r="C56" s="14" t="s">
        <v>175</v>
      </c>
    </row>
    <row r="57" spans="1:3" ht="120">
      <c r="A57" s="11" t="s">
        <v>176</v>
      </c>
      <c r="B57" s="14" t="s">
        <v>177</v>
      </c>
      <c r="C57" s="14" t="s">
        <v>178</v>
      </c>
    </row>
    <row r="58" spans="1:3" ht="135">
      <c r="A58" s="11" t="s">
        <v>179</v>
      </c>
      <c r="B58" s="14" t="s">
        <v>180</v>
      </c>
      <c r="C58" s="14" t="s">
        <v>181</v>
      </c>
    </row>
    <row r="59" spans="1:3" ht="105">
      <c r="A59" s="11" t="s">
        <v>182</v>
      </c>
      <c r="B59" s="14" t="s">
        <v>183</v>
      </c>
      <c r="C59" s="14" t="s">
        <v>184</v>
      </c>
    </row>
    <row r="60" spans="1:3" ht="90">
      <c r="A60" s="11" t="s">
        <v>185</v>
      </c>
      <c r="B60" s="14" t="s">
        <v>186</v>
      </c>
      <c r="C60" s="14" t="s">
        <v>187</v>
      </c>
    </row>
    <row r="61" spans="1:3" ht="120">
      <c r="A61" s="11" t="s">
        <v>188</v>
      </c>
      <c r="B61" s="14" t="s">
        <v>189</v>
      </c>
      <c r="C61" s="14" t="s">
        <v>190</v>
      </c>
    </row>
    <row r="62" spans="1:3" ht="90">
      <c r="A62" s="11" t="s">
        <v>191</v>
      </c>
      <c r="B62" s="14" t="s">
        <v>192</v>
      </c>
      <c r="C62" s="14" t="s">
        <v>193</v>
      </c>
    </row>
    <row r="63" spans="1:3" ht="120">
      <c r="A63" s="11" t="s">
        <v>194</v>
      </c>
      <c r="B63" s="14" t="s">
        <v>195</v>
      </c>
      <c r="C63" s="14" t="s">
        <v>196</v>
      </c>
    </row>
    <row r="64" spans="1:3" ht="105">
      <c r="A64" s="11" t="s">
        <v>197</v>
      </c>
      <c r="B64" s="14" t="s">
        <v>198</v>
      </c>
      <c r="C64" s="14" t="s">
        <v>199</v>
      </c>
    </row>
    <row r="65" spans="1:3" ht="180">
      <c r="A65" s="11" t="s">
        <v>200</v>
      </c>
      <c r="B65" s="14" t="s">
        <v>201</v>
      </c>
      <c r="C65" s="14" t="s">
        <v>202</v>
      </c>
    </row>
    <row r="66" spans="1:3" ht="135">
      <c r="A66" s="11" t="s">
        <v>203</v>
      </c>
      <c r="B66" s="14" t="s">
        <v>204</v>
      </c>
      <c r="C66" s="14" t="s">
        <v>205</v>
      </c>
    </row>
    <row r="67" spans="1:3" ht="105">
      <c r="A67" s="11" t="s">
        <v>206</v>
      </c>
      <c r="B67" s="14" t="s">
        <v>207</v>
      </c>
      <c r="C67" s="14" t="s">
        <v>208</v>
      </c>
    </row>
    <row r="68" spans="1:3" ht="150">
      <c r="A68" s="11" t="s">
        <v>209</v>
      </c>
      <c r="B68" s="14" t="s">
        <v>210</v>
      </c>
      <c r="C68" s="14" t="s">
        <v>211</v>
      </c>
    </row>
    <row r="69" spans="1:3" ht="120">
      <c r="A69" s="11" t="s">
        <v>212</v>
      </c>
      <c r="B69" s="14" t="s">
        <v>213</v>
      </c>
      <c r="C69" s="14" t="s">
        <v>214</v>
      </c>
    </row>
    <row r="70" spans="1:3" ht="135">
      <c r="A70" s="11" t="s">
        <v>215</v>
      </c>
      <c r="B70" s="14" t="s">
        <v>216</v>
      </c>
      <c r="C70" s="14" t="s">
        <v>217</v>
      </c>
    </row>
    <row r="71" spans="1:3" ht="105">
      <c r="A71" s="11" t="s">
        <v>218</v>
      </c>
      <c r="B71" s="14" t="s">
        <v>219</v>
      </c>
      <c r="C71" s="14" t="s">
        <v>220</v>
      </c>
    </row>
    <row r="72" spans="1:3" ht="120">
      <c r="A72" s="11" t="s">
        <v>221</v>
      </c>
      <c r="B72" s="14" t="s">
        <v>222</v>
      </c>
      <c r="C72" s="14" t="s">
        <v>223</v>
      </c>
    </row>
    <row r="73" spans="1:3" ht="135">
      <c r="A73" s="11" t="s">
        <v>224</v>
      </c>
      <c r="B73" s="14" t="s">
        <v>225</v>
      </c>
      <c r="C73" s="14" t="s">
        <v>226</v>
      </c>
    </row>
    <row r="74" spans="1:3" ht="165">
      <c r="A74" s="11" t="s">
        <v>227</v>
      </c>
      <c r="B74" s="14" t="s">
        <v>228</v>
      </c>
      <c r="C74" s="14" t="s">
        <v>229</v>
      </c>
    </row>
    <row r="75" spans="1:3" ht="120">
      <c r="A75" s="11" t="s">
        <v>230</v>
      </c>
      <c r="B75" s="14" t="s">
        <v>231</v>
      </c>
      <c r="C75" s="14" t="s">
        <v>232</v>
      </c>
    </row>
    <row r="76" spans="1:3" ht="105">
      <c r="A76" s="11" t="s">
        <v>233</v>
      </c>
      <c r="B76" s="14" t="s">
        <v>234</v>
      </c>
      <c r="C76" s="14" t="s">
        <v>235</v>
      </c>
    </row>
    <row r="77" spans="1:3" ht="195">
      <c r="A77" s="11" t="s">
        <v>236</v>
      </c>
      <c r="B77" s="14" t="s">
        <v>237</v>
      </c>
      <c r="C77" s="14" t="s">
        <v>238</v>
      </c>
    </row>
    <row r="78" spans="1:3" ht="135">
      <c r="A78" s="11" t="s">
        <v>239</v>
      </c>
      <c r="B78" s="14" t="s">
        <v>240</v>
      </c>
      <c r="C78" s="14" t="s">
        <v>241</v>
      </c>
    </row>
    <row r="79" spans="1:3" ht="165">
      <c r="A79" s="11" t="s">
        <v>242</v>
      </c>
      <c r="B79" s="14" t="s">
        <v>243</v>
      </c>
      <c r="C79" s="14" t="s">
        <v>244</v>
      </c>
    </row>
    <row r="80" spans="1:3" ht="135">
      <c r="A80" s="11" t="s">
        <v>245</v>
      </c>
      <c r="B80" s="14" t="s">
        <v>246</v>
      </c>
      <c r="C80" s="14" t="s">
        <v>247</v>
      </c>
    </row>
    <row r="81" spans="1:3" ht="105">
      <c r="A81" s="11" t="s">
        <v>248</v>
      </c>
      <c r="B81" s="14" t="s">
        <v>249</v>
      </c>
      <c r="C81" s="14" t="s">
        <v>250</v>
      </c>
    </row>
    <row r="82" spans="1:3" ht="135">
      <c r="A82" s="11" t="s">
        <v>251</v>
      </c>
      <c r="B82" s="14" t="s">
        <v>252</v>
      </c>
      <c r="C82" s="14" t="s">
        <v>253</v>
      </c>
    </row>
    <row r="83" spans="1:3" ht="135">
      <c r="A83" s="11" t="s">
        <v>254</v>
      </c>
      <c r="B83" s="14" t="s">
        <v>255</v>
      </c>
      <c r="C83" s="14" t="s">
        <v>256</v>
      </c>
    </row>
    <row r="84" spans="1:3" ht="105">
      <c r="A84" s="11" t="s">
        <v>257</v>
      </c>
      <c r="B84" s="14" t="s">
        <v>258</v>
      </c>
      <c r="C84" s="14" t="s">
        <v>259</v>
      </c>
    </row>
    <row r="85" spans="1:3" ht="135">
      <c r="A85" s="11" t="s">
        <v>260</v>
      </c>
      <c r="B85" s="14" t="s">
        <v>261</v>
      </c>
      <c r="C85" s="14" t="s">
        <v>262</v>
      </c>
    </row>
    <row r="86" spans="1:3" ht="120">
      <c r="A86" s="11" t="s">
        <v>263</v>
      </c>
      <c r="B86" s="14" t="s">
        <v>264</v>
      </c>
      <c r="C86" s="14" t="s">
        <v>265</v>
      </c>
    </row>
    <row r="87" spans="1:3" ht="135">
      <c r="A87" s="11" t="s">
        <v>266</v>
      </c>
      <c r="B87" s="14" t="s">
        <v>267</v>
      </c>
      <c r="C87" s="14" t="s">
        <v>268</v>
      </c>
    </row>
    <row r="88" spans="1:3" ht="180">
      <c r="A88" s="11" t="s">
        <v>269</v>
      </c>
      <c r="B88" s="14" t="s">
        <v>270</v>
      </c>
      <c r="C88" s="14" t="s">
        <v>271</v>
      </c>
    </row>
    <row r="89" spans="1:3" ht="225">
      <c r="A89" s="11" t="s">
        <v>272</v>
      </c>
      <c r="B89" s="14" t="s">
        <v>273</v>
      </c>
      <c r="C89" s="14" t="s">
        <v>274</v>
      </c>
    </row>
    <row r="90" spans="1:3" ht="135">
      <c r="A90" s="11" t="s">
        <v>275</v>
      </c>
      <c r="B90" s="14" t="s">
        <v>276</v>
      </c>
      <c r="C90" s="14" t="s">
        <v>277</v>
      </c>
    </row>
    <row r="91" spans="1:3" ht="180">
      <c r="A91" s="11" t="s">
        <v>278</v>
      </c>
      <c r="B91" s="14" t="s">
        <v>279</v>
      </c>
      <c r="C91" s="14" t="s">
        <v>280</v>
      </c>
    </row>
    <row r="92" spans="1:3" ht="135">
      <c r="A92" s="11" t="s">
        <v>281</v>
      </c>
      <c r="B92" s="14" t="s">
        <v>282</v>
      </c>
      <c r="C92" s="14" t="s">
        <v>283</v>
      </c>
    </row>
    <row r="93" spans="1:3" ht="120">
      <c r="A93" s="11" t="s">
        <v>284</v>
      </c>
      <c r="B93" s="14" t="s">
        <v>285</v>
      </c>
      <c r="C93" s="14" t="s">
        <v>286</v>
      </c>
    </row>
    <row r="94" spans="1:3" ht="195">
      <c r="A94" s="11" t="s">
        <v>287</v>
      </c>
      <c r="B94" s="14" t="s">
        <v>288</v>
      </c>
      <c r="C94" s="14" t="s">
        <v>289</v>
      </c>
    </row>
    <row r="95" spans="1:3" ht="135">
      <c r="A95" s="11" t="s">
        <v>290</v>
      </c>
      <c r="B95" s="14" t="s">
        <v>291</v>
      </c>
      <c r="C95" s="14" t="s">
        <v>292</v>
      </c>
    </row>
    <row r="96" spans="1:3" ht="135">
      <c r="A96" s="11" t="s">
        <v>293</v>
      </c>
      <c r="B96" s="14" t="s">
        <v>294</v>
      </c>
      <c r="C96" s="14" t="s">
        <v>295</v>
      </c>
    </row>
    <row r="97" spans="1:3" ht="105">
      <c r="A97" s="11" t="s">
        <v>296</v>
      </c>
      <c r="B97" s="14" t="s">
        <v>297</v>
      </c>
      <c r="C97" s="14" t="s">
        <v>298</v>
      </c>
    </row>
    <row r="98" spans="1:3" ht="150">
      <c r="A98" s="11" t="s">
        <v>299</v>
      </c>
      <c r="B98" s="14" t="s">
        <v>300</v>
      </c>
      <c r="C98" s="14" t="s">
        <v>301</v>
      </c>
    </row>
    <row r="99" spans="1:3" ht="120">
      <c r="A99" s="11" t="s">
        <v>302</v>
      </c>
      <c r="B99" s="14" t="s">
        <v>303</v>
      </c>
      <c r="C99" s="14" t="s">
        <v>304</v>
      </c>
    </row>
    <row r="100" spans="1:3" ht="90">
      <c r="A100" s="11" t="s">
        <v>305</v>
      </c>
      <c r="B100" s="14" t="s">
        <v>306</v>
      </c>
      <c r="C100" s="14" t="s">
        <v>307</v>
      </c>
    </row>
    <row r="101" spans="1:3" ht="120">
      <c r="A101" s="11" t="s">
        <v>308</v>
      </c>
      <c r="B101" s="14" t="s">
        <v>309</v>
      </c>
      <c r="C101" s="14" t="s">
        <v>310</v>
      </c>
    </row>
    <row r="102" spans="1:3" ht="150">
      <c r="A102" s="11" t="s">
        <v>311</v>
      </c>
      <c r="B102" s="14" t="s">
        <v>312</v>
      </c>
      <c r="C102" s="14" t="s">
        <v>313</v>
      </c>
    </row>
    <row r="103" spans="1:3" ht="120">
      <c r="A103" s="11" t="s">
        <v>314</v>
      </c>
      <c r="B103" s="14" t="s">
        <v>315</v>
      </c>
      <c r="C103" s="14" t="s">
        <v>316</v>
      </c>
    </row>
    <row r="104" spans="1:3" ht="180">
      <c r="A104" s="11" t="s">
        <v>317</v>
      </c>
      <c r="B104" s="14" t="s">
        <v>318</v>
      </c>
      <c r="C104" s="14" t="s">
        <v>319</v>
      </c>
    </row>
    <row r="105" spans="1:3" ht="150">
      <c r="A105" s="11" t="s">
        <v>320</v>
      </c>
      <c r="B105" s="14" t="s">
        <v>321</v>
      </c>
      <c r="C105" s="14" t="s">
        <v>322</v>
      </c>
    </row>
    <row r="106" spans="1:3" ht="120">
      <c r="A106" s="11" t="s">
        <v>323</v>
      </c>
      <c r="B106" s="14" t="s">
        <v>324</v>
      </c>
      <c r="C106" s="14" t="s">
        <v>325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0653-36D0-4070-8F06-711B9603D69A}">
  <sheetPr codeName="Sheet5"/>
  <dimension ref="A1:DK52"/>
  <sheetViews>
    <sheetView zoomScale="85" zoomScaleNormal="85" workbookViewId="0">
      <pane xSplit="4" ySplit="2" topLeftCell="CX3" activePane="bottomRight" state="frozen"/>
      <selection pane="bottomRight" activeCell="CZ3" sqref="CZ3"/>
      <selection pane="bottomLeft" activeCell="A3" sqref="A3"/>
      <selection pane="topRight" activeCell="E1" sqref="E1"/>
    </sheetView>
  </sheetViews>
  <sheetFormatPr defaultColWidth="18.140625" defaultRowHeight="15"/>
  <cols>
    <col min="1" max="1" width="22.42578125" bestFit="1" customWidth="1"/>
    <col min="2" max="2" width="28.140625" bestFit="1" customWidth="1"/>
    <col min="3" max="3" width="11.42578125" bestFit="1" customWidth="1"/>
    <col min="4" max="4" width="48.7109375" customWidth="1"/>
    <col min="5" max="6" width="37" bestFit="1" customWidth="1"/>
    <col min="7" max="7" width="37.28515625" bestFit="1" customWidth="1"/>
    <col min="8" max="8" width="37" bestFit="1" customWidth="1"/>
    <col min="9" max="9" width="36.28515625" bestFit="1" customWidth="1"/>
    <col min="10" max="10" width="32.85546875" bestFit="1" customWidth="1"/>
    <col min="11" max="11" width="33.42578125" bestFit="1" customWidth="1"/>
    <col min="12" max="12" width="34.7109375" bestFit="1" customWidth="1"/>
    <col min="13" max="13" width="37.42578125" bestFit="1" customWidth="1"/>
    <col min="14" max="14" width="39.5703125" bestFit="1" customWidth="1"/>
    <col min="15" max="15" width="37.42578125" bestFit="1" customWidth="1"/>
    <col min="16" max="16" width="35.7109375" bestFit="1" customWidth="1"/>
    <col min="17" max="17" width="38.85546875" bestFit="1" customWidth="1"/>
    <col min="18" max="18" width="35" bestFit="1" customWidth="1"/>
    <col min="19" max="19" width="36.5703125" bestFit="1" customWidth="1"/>
    <col min="20" max="20" width="40.28515625" bestFit="1" customWidth="1"/>
    <col min="21" max="21" width="37.85546875" bestFit="1" customWidth="1"/>
    <col min="22" max="22" width="35.5703125" bestFit="1" customWidth="1"/>
    <col min="23" max="23" width="37.42578125" bestFit="1" customWidth="1"/>
    <col min="24" max="24" width="37" bestFit="1" customWidth="1"/>
    <col min="25" max="25" width="36.42578125" bestFit="1" customWidth="1"/>
    <col min="26" max="26" width="35.42578125" bestFit="1" customWidth="1"/>
    <col min="27" max="27" width="36.85546875" bestFit="1" customWidth="1"/>
    <col min="28" max="28" width="35.42578125" bestFit="1" customWidth="1"/>
    <col min="29" max="29" width="33.42578125" bestFit="1" customWidth="1"/>
    <col min="30" max="30" width="36.140625" bestFit="1" customWidth="1"/>
    <col min="31" max="31" width="33.42578125" bestFit="1" customWidth="1"/>
    <col min="32" max="32" width="37.140625" bestFit="1" customWidth="1"/>
    <col min="33" max="33" width="39" bestFit="1" customWidth="1"/>
    <col min="34" max="34" width="38.28515625" bestFit="1" customWidth="1"/>
    <col min="35" max="35" width="36.5703125" bestFit="1" customWidth="1"/>
    <col min="36" max="36" width="36.28515625" bestFit="1" customWidth="1"/>
    <col min="37" max="37" width="36.5703125" bestFit="1" customWidth="1"/>
    <col min="38" max="39" width="36.140625" bestFit="1" customWidth="1"/>
    <col min="40" max="40" width="32.7109375" bestFit="1" customWidth="1"/>
    <col min="41" max="41" width="36.5703125" bestFit="1" customWidth="1"/>
    <col min="42" max="42" width="27.42578125" bestFit="1" customWidth="1"/>
    <col min="43" max="43" width="36.28515625" bestFit="1" customWidth="1"/>
    <col min="44" max="44" width="36.42578125" bestFit="1" customWidth="1"/>
    <col min="45" max="45" width="36.140625" bestFit="1" customWidth="1"/>
    <col min="46" max="46" width="36.7109375" bestFit="1" customWidth="1"/>
    <col min="47" max="47" width="36" bestFit="1" customWidth="1"/>
    <col min="48" max="48" width="43.140625" bestFit="1" customWidth="1"/>
    <col min="49" max="49" width="35.5703125" bestFit="1" customWidth="1"/>
    <col min="50" max="50" width="36.28515625" bestFit="1" customWidth="1"/>
    <col min="51" max="51" width="39.85546875" bestFit="1" customWidth="1"/>
    <col min="52" max="52" width="36.7109375" bestFit="1" customWidth="1"/>
    <col min="53" max="53" width="36" bestFit="1" customWidth="1"/>
    <col min="54" max="54" width="38.85546875" bestFit="1" customWidth="1"/>
    <col min="55" max="55" width="34.28515625" bestFit="1" customWidth="1"/>
    <col min="56" max="56" width="36.28515625" bestFit="1" customWidth="1"/>
    <col min="57" max="57" width="32.28515625" bestFit="1" customWidth="1"/>
    <col min="58" max="58" width="37.140625" bestFit="1" customWidth="1"/>
    <col min="59" max="59" width="36.5703125" bestFit="1" customWidth="1"/>
    <col min="60" max="60" width="36.28515625" bestFit="1" customWidth="1"/>
    <col min="61" max="61" width="37.42578125" bestFit="1" customWidth="1"/>
    <col min="62" max="62" width="37.140625" bestFit="1" customWidth="1"/>
    <col min="63" max="63" width="30.42578125" bestFit="1" customWidth="1"/>
    <col min="64" max="64" width="28.140625" bestFit="1" customWidth="1"/>
    <col min="65" max="65" width="34.85546875" bestFit="1" customWidth="1"/>
    <col min="66" max="66" width="32.28515625" bestFit="1" customWidth="1"/>
    <col min="67" max="67" width="36.28515625" bestFit="1" customWidth="1"/>
    <col min="68" max="68" width="36.5703125" bestFit="1" customWidth="1"/>
    <col min="69" max="69" width="36.140625" bestFit="1" customWidth="1"/>
    <col min="70" max="70" width="32.85546875" bestFit="1" customWidth="1"/>
    <col min="71" max="71" width="36" bestFit="1" customWidth="1"/>
    <col min="72" max="72" width="37.42578125" bestFit="1" customWidth="1"/>
    <col min="73" max="73" width="33.5703125" bestFit="1" customWidth="1"/>
    <col min="74" max="74" width="37" bestFit="1" customWidth="1"/>
    <col min="75" max="75" width="36" bestFit="1" customWidth="1"/>
    <col min="76" max="76" width="36.7109375" bestFit="1" customWidth="1"/>
    <col min="77" max="77" width="39" bestFit="1" customWidth="1"/>
    <col min="78" max="78" width="36.7109375" bestFit="1" customWidth="1"/>
    <col min="79" max="79" width="35.42578125" bestFit="1" customWidth="1"/>
    <col min="80" max="80" width="42.42578125" bestFit="1" customWidth="1"/>
    <col min="81" max="81" width="32.5703125" bestFit="1" customWidth="1"/>
    <col min="82" max="82" width="35.140625" bestFit="1" customWidth="1"/>
    <col min="83" max="83" width="36.5703125" bestFit="1" customWidth="1"/>
    <col min="84" max="84" width="30.28515625" bestFit="1" customWidth="1"/>
    <col min="85" max="85" width="37" bestFit="1" customWidth="1"/>
    <col min="86" max="86" width="34.85546875" bestFit="1" customWidth="1"/>
    <col min="87" max="87" width="37.28515625" bestFit="1" customWidth="1"/>
    <col min="88" max="88" width="37" bestFit="1" customWidth="1"/>
    <col min="89" max="89" width="36.5703125" bestFit="1" customWidth="1"/>
    <col min="90" max="90" width="35.5703125" bestFit="1" customWidth="1"/>
    <col min="91" max="91" width="43.7109375" bestFit="1" customWidth="1"/>
    <col min="92" max="92" width="48" bestFit="1" customWidth="1"/>
    <col min="93" max="93" width="37" bestFit="1" customWidth="1"/>
    <col min="94" max="94" width="35.7109375" bestFit="1" customWidth="1"/>
    <col min="95" max="95" width="37.42578125" bestFit="1" customWidth="1"/>
    <col min="96" max="96" width="36.28515625" bestFit="1" customWidth="1"/>
    <col min="97" max="97" width="41.85546875" bestFit="1" customWidth="1"/>
    <col min="98" max="98" width="36.28515625" bestFit="1" customWidth="1"/>
    <col min="99" max="99" width="37.42578125" bestFit="1" customWidth="1"/>
    <col min="100" max="100" width="33.85546875" bestFit="1" customWidth="1"/>
    <col min="101" max="101" width="34.42578125" bestFit="1" customWidth="1"/>
    <col min="102" max="102" width="37.28515625" bestFit="1" customWidth="1"/>
    <col min="103" max="103" width="33.42578125" bestFit="1" customWidth="1"/>
    <col min="104" max="104" width="37.42578125" bestFit="1" customWidth="1"/>
    <col min="105" max="105" width="39.28515625" bestFit="1" customWidth="1"/>
    <col min="106" max="106" width="36.85546875" bestFit="1" customWidth="1"/>
    <col min="107" max="107" width="41.28515625" bestFit="1" customWidth="1"/>
    <col min="108" max="108" width="36.42578125" bestFit="1" customWidth="1"/>
    <col min="109" max="109" width="32.85546875" bestFit="1" customWidth="1"/>
    <col min="113" max="113" width="19.85546875" bestFit="1" customWidth="1"/>
    <col min="115" max="115" width="19.5703125" bestFit="1" customWidth="1"/>
  </cols>
  <sheetData>
    <row r="1" spans="1:115">
      <c r="D1" s="10" t="s">
        <v>326</v>
      </c>
      <c r="E1" s="23" t="s">
        <v>11</v>
      </c>
      <c r="F1" s="23" t="s">
        <v>14</v>
      </c>
      <c r="G1" s="23" t="s">
        <v>17</v>
      </c>
      <c r="H1" s="23" t="s">
        <v>20</v>
      </c>
      <c r="I1" s="23" t="s">
        <v>23</v>
      </c>
      <c r="J1" s="23" t="s">
        <v>26</v>
      </c>
      <c r="K1" s="23" t="s">
        <v>29</v>
      </c>
      <c r="L1" s="23" t="s">
        <v>32</v>
      </c>
      <c r="M1" s="23" t="s">
        <v>35</v>
      </c>
      <c r="N1" s="23" t="s">
        <v>38</v>
      </c>
      <c r="O1" s="23" t="s">
        <v>41</v>
      </c>
      <c r="P1" s="23" t="s">
        <v>44</v>
      </c>
      <c r="Q1" s="23" t="s">
        <v>47</v>
      </c>
      <c r="R1" s="23" t="s">
        <v>50</v>
      </c>
      <c r="S1" s="23" t="s">
        <v>53</v>
      </c>
      <c r="T1" s="23" t="s">
        <v>56</v>
      </c>
      <c r="U1" s="23" t="s">
        <v>59</v>
      </c>
      <c r="V1" s="23" t="s">
        <v>62</v>
      </c>
      <c r="W1" s="23" t="s">
        <v>65</v>
      </c>
      <c r="X1" s="23" t="s">
        <v>68</v>
      </c>
      <c r="Y1" s="23" t="s">
        <v>71</v>
      </c>
      <c r="Z1" s="23" t="s">
        <v>74</v>
      </c>
      <c r="AA1" s="23" t="s">
        <v>77</v>
      </c>
      <c r="AB1" s="23" t="s">
        <v>80</v>
      </c>
      <c r="AC1" s="23" t="s">
        <v>83</v>
      </c>
      <c r="AD1" s="23" t="s">
        <v>86</v>
      </c>
      <c r="AE1" s="23" t="s">
        <v>89</v>
      </c>
      <c r="AF1" s="23" t="s">
        <v>92</v>
      </c>
      <c r="AG1" s="23" t="s">
        <v>95</v>
      </c>
      <c r="AH1" s="23" t="s">
        <v>98</v>
      </c>
      <c r="AI1" s="23" t="s">
        <v>101</v>
      </c>
      <c r="AJ1" s="23" t="s">
        <v>104</v>
      </c>
      <c r="AK1" s="23" t="s">
        <v>107</v>
      </c>
      <c r="AL1" s="23" t="s">
        <v>110</v>
      </c>
      <c r="AM1" s="23" t="s">
        <v>113</v>
      </c>
      <c r="AN1" s="23" t="s">
        <v>116</v>
      </c>
      <c r="AO1" s="23" t="s">
        <v>119</v>
      </c>
      <c r="AP1" s="23" t="s">
        <v>122</v>
      </c>
      <c r="AQ1" s="23" t="s">
        <v>125</v>
      </c>
      <c r="AR1" s="23" t="s">
        <v>128</v>
      </c>
      <c r="AS1" s="23" t="s">
        <v>131</v>
      </c>
      <c r="AT1" s="23" t="s">
        <v>134</v>
      </c>
      <c r="AU1" s="23" t="s">
        <v>137</v>
      </c>
      <c r="AV1" s="23" t="s">
        <v>140</v>
      </c>
      <c r="AW1" s="23" t="s">
        <v>143</v>
      </c>
      <c r="AX1" s="23" t="s">
        <v>146</v>
      </c>
      <c r="AY1" s="23" t="s">
        <v>149</v>
      </c>
      <c r="AZ1" s="23" t="s">
        <v>152</v>
      </c>
      <c r="BA1" s="23" t="s">
        <v>155</v>
      </c>
      <c r="BB1" s="23" t="s">
        <v>158</v>
      </c>
      <c r="BC1" s="23" t="s">
        <v>161</v>
      </c>
      <c r="BD1" s="23" t="s">
        <v>164</v>
      </c>
      <c r="BE1" s="23" t="s">
        <v>167</v>
      </c>
      <c r="BF1" s="23" t="s">
        <v>170</v>
      </c>
      <c r="BG1" s="23" t="s">
        <v>173</v>
      </c>
      <c r="BH1" s="23" t="s">
        <v>176</v>
      </c>
      <c r="BI1" s="23" t="s">
        <v>179</v>
      </c>
      <c r="BJ1" s="23" t="s">
        <v>182</v>
      </c>
      <c r="BK1" s="23" t="s">
        <v>185</v>
      </c>
      <c r="BL1" s="23" t="s">
        <v>188</v>
      </c>
      <c r="BM1" s="23" t="s">
        <v>191</v>
      </c>
      <c r="BN1" s="23" t="s">
        <v>194</v>
      </c>
      <c r="BO1" s="23" t="s">
        <v>197</v>
      </c>
      <c r="BP1" s="23" t="s">
        <v>200</v>
      </c>
      <c r="BQ1" s="23" t="s">
        <v>203</v>
      </c>
      <c r="BR1" s="23" t="s">
        <v>206</v>
      </c>
      <c r="BS1" s="23" t="s">
        <v>209</v>
      </c>
      <c r="BT1" s="23" t="s">
        <v>212</v>
      </c>
      <c r="BU1" s="23" t="s">
        <v>215</v>
      </c>
      <c r="BV1" s="23" t="s">
        <v>218</v>
      </c>
      <c r="BW1" s="23" t="s">
        <v>221</v>
      </c>
      <c r="BX1" s="23" t="s">
        <v>224</v>
      </c>
      <c r="BY1" s="23" t="s">
        <v>227</v>
      </c>
      <c r="BZ1" s="23" t="s">
        <v>230</v>
      </c>
      <c r="CA1" s="23" t="s">
        <v>233</v>
      </c>
      <c r="CB1" s="23" t="s">
        <v>236</v>
      </c>
      <c r="CC1" s="23" t="s">
        <v>239</v>
      </c>
      <c r="CD1" s="23" t="s">
        <v>242</v>
      </c>
      <c r="CE1" s="23" t="s">
        <v>245</v>
      </c>
      <c r="CF1" s="23" t="s">
        <v>248</v>
      </c>
      <c r="CG1" s="23" t="s">
        <v>251</v>
      </c>
      <c r="CH1" s="23" t="s">
        <v>254</v>
      </c>
      <c r="CI1" s="23" t="s">
        <v>257</v>
      </c>
      <c r="CJ1" s="23" t="s">
        <v>260</v>
      </c>
      <c r="CK1" s="23" t="s">
        <v>263</v>
      </c>
      <c r="CL1" s="23" t="s">
        <v>266</v>
      </c>
      <c r="CM1" s="23" t="s">
        <v>269</v>
      </c>
      <c r="CN1" s="23" t="s">
        <v>272</v>
      </c>
      <c r="CO1" s="23" t="s">
        <v>275</v>
      </c>
      <c r="CP1" s="23" t="s">
        <v>278</v>
      </c>
      <c r="CQ1" s="23" t="s">
        <v>281</v>
      </c>
      <c r="CR1" s="23" t="s">
        <v>284</v>
      </c>
      <c r="CS1" s="23" t="s">
        <v>287</v>
      </c>
      <c r="CT1" s="23" t="s">
        <v>290</v>
      </c>
      <c r="CU1" s="23" t="s">
        <v>293</v>
      </c>
      <c r="CV1" s="23" t="s">
        <v>296</v>
      </c>
      <c r="CW1" s="23" t="s">
        <v>299</v>
      </c>
      <c r="CX1" s="23" t="s">
        <v>302</v>
      </c>
      <c r="CY1" s="23" t="s">
        <v>305</v>
      </c>
      <c r="CZ1" s="23" t="s">
        <v>308</v>
      </c>
      <c r="DA1" s="23" t="s">
        <v>311</v>
      </c>
      <c r="DB1" s="23" t="s">
        <v>314</v>
      </c>
      <c r="DC1" s="23" t="s">
        <v>317</v>
      </c>
      <c r="DD1" s="23" t="s">
        <v>320</v>
      </c>
      <c r="DE1" s="23" t="s">
        <v>323</v>
      </c>
    </row>
    <row r="2" spans="1:115" s="11" customFormat="1" ht="37.5">
      <c r="D2" s="12" t="s">
        <v>327</v>
      </c>
      <c r="E2" s="24" t="s">
        <v>12</v>
      </c>
      <c r="F2" s="24" t="s">
        <v>15</v>
      </c>
      <c r="G2" s="24" t="s">
        <v>18</v>
      </c>
      <c r="H2" s="24" t="s">
        <v>21</v>
      </c>
      <c r="I2" s="24" t="s">
        <v>24</v>
      </c>
      <c r="J2" s="24" t="s">
        <v>27</v>
      </c>
      <c r="K2" s="24" t="s">
        <v>30</v>
      </c>
      <c r="L2" s="24" t="s">
        <v>33</v>
      </c>
      <c r="M2" s="24" t="s">
        <v>36</v>
      </c>
      <c r="N2" s="24" t="s">
        <v>39</v>
      </c>
      <c r="O2" s="24" t="s">
        <v>42</v>
      </c>
      <c r="P2" s="24" t="s">
        <v>45</v>
      </c>
      <c r="Q2" s="24" t="s">
        <v>48</v>
      </c>
      <c r="R2" s="24" t="s">
        <v>51</v>
      </c>
      <c r="S2" s="24" t="s">
        <v>54</v>
      </c>
      <c r="T2" s="24" t="s">
        <v>57</v>
      </c>
      <c r="U2" s="24" t="s">
        <v>60</v>
      </c>
      <c r="V2" s="24" t="s">
        <v>63</v>
      </c>
      <c r="W2" s="24" t="s">
        <v>66</v>
      </c>
      <c r="X2" s="24" t="s">
        <v>69</v>
      </c>
      <c r="Y2" s="24" t="s">
        <v>72</v>
      </c>
      <c r="Z2" s="24" t="s">
        <v>75</v>
      </c>
      <c r="AA2" s="24" t="s">
        <v>78</v>
      </c>
      <c r="AB2" s="24" t="s">
        <v>81</v>
      </c>
      <c r="AC2" s="24" t="s">
        <v>84</v>
      </c>
      <c r="AD2" s="21" t="s">
        <v>87</v>
      </c>
      <c r="AE2" s="24" t="s">
        <v>90</v>
      </c>
      <c r="AF2" s="24" t="s">
        <v>93</v>
      </c>
      <c r="AG2" s="24" t="s">
        <v>96</v>
      </c>
      <c r="AH2" s="24" t="s">
        <v>99</v>
      </c>
      <c r="AI2" s="24" t="s">
        <v>102</v>
      </c>
      <c r="AJ2" s="24" t="s">
        <v>105</v>
      </c>
      <c r="AK2" s="24" t="s">
        <v>108</v>
      </c>
      <c r="AL2" s="24" t="s">
        <v>111</v>
      </c>
      <c r="AM2" s="24" t="s">
        <v>114</v>
      </c>
      <c r="AN2" s="24" t="s">
        <v>117</v>
      </c>
      <c r="AO2" s="24" t="s">
        <v>120</v>
      </c>
      <c r="AP2" s="24" t="s">
        <v>123</v>
      </c>
      <c r="AQ2" s="24" t="s">
        <v>126</v>
      </c>
      <c r="AR2" s="24" t="s">
        <v>129</v>
      </c>
      <c r="AS2" s="24" t="s">
        <v>132</v>
      </c>
      <c r="AT2" s="24" t="s">
        <v>135</v>
      </c>
      <c r="AU2" s="24" t="s">
        <v>138</v>
      </c>
      <c r="AV2" s="24" t="s">
        <v>141</v>
      </c>
      <c r="AW2" s="24" t="s">
        <v>144</v>
      </c>
      <c r="AX2" s="24" t="s">
        <v>147</v>
      </c>
      <c r="AY2" s="24" t="s">
        <v>150</v>
      </c>
      <c r="AZ2" s="24" t="s">
        <v>153</v>
      </c>
      <c r="BA2" s="24" t="s">
        <v>156</v>
      </c>
      <c r="BB2" s="24" t="s">
        <v>159</v>
      </c>
      <c r="BC2" s="24" t="s">
        <v>162</v>
      </c>
      <c r="BD2" s="24" t="s">
        <v>165</v>
      </c>
      <c r="BE2" s="24" t="s">
        <v>168</v>
      </c>
      <c r="BF2" s="24" t="s">
        <v>171</v>
      </c>
      <c r="BG2" s="24" t="s">
        <v>174</v>
      </c>
      <c r="BH2" s="24" t="s">
        <v>177</v>
      </c>
      <c r="BI2" s="24" t="s">
        <v>180</v>
      </c>
      <c r="BJ2" s="24" t="s">
        <v>183</v>
      </c>
      <c r="BK2" s="24" t="s">
        <v>186</v>
      </c>
      <c r="BL2" s="24" t="s">
        <v>189</v>
      </c>
      <c r="BM2" s="24" t="s">
        <v>192</v>
      </c>
      <c r="BN2" s="24" t="s">
        <v>195</v>
      </c>
      <c r="BO2" s="24" t="s">
        <v>198</v>
      </c>
      <c r="BP2" s="24" t="s">
        <v>201</v>
      </c>
      <c r="BQ2" s="24" t="s">
        <v>204</v>
      </c>
      <c r="BR2" s="24" t="s">
        <v>207</v>
      </c>
      <c r="BS2" s="24" t="s">
        <v>210</v>
      </c>
      <c r="BT2" s="24" t="s">
        <v>213</v>
      </c>
      <c r="BU2" s="24" t="s">
        <v>216</v>
      </c>
      <c r="BV2" s="24" t="s">
        <v>219</v>
      </c>
      <c r="BW2" s="24" t="s">
        <v>222</v>
      </c>
      <c r="BX2" s="24" t="s">
        <v>225</v>
      </c>
      <c r="BY2" s="24" t="s">
        <v>228</v>
      </c>
      <c r="BZ2" s="24" t="s">
        <v>231</v>
      </c>
      <c r="CA2" s="24" t="s">
        <v>234</v>
      </c>
      <c r="CB2" s="24" t="s">
        <v>237</v>
      </c>
      <c r="CC2" s="24" t="s">
        <v>240</v>
      </c>
      <c r="CD2" s="24" t="s">
        <v>243</v>
      </c>
      <c r="CE2" s="24" t="s">
        <v>246</v>
      </c>
      <c r="CF2" s="24" t="s">
        <v>249</v>
      </c>
      <c r="CG2" s="24" t="s">
        <v>252</v>
      </c>
      <c r="CH2" s="24" t="s">
        <v>255</v>
      </c>
      <c r="CI2" s="24" t="s">
        <v>258</v>
      </c>
      <c r="CJ2" s="24" t="s">
        <v>261</v>
      </c>
      <c r="CK2" s="24" t="s">
        <v>264</v>
      </c>
      <c r="CL2" s="24" t="s">
        <v>267</v>
      </c>
      <c r="CM2" s="24" t="s">
        <v>270</v>
      </c>
      <c r="CN2" s="24" t="s">
        <v>273</v>
      </c>
      <c r="CO2" s="24" t="s">
        <v>276</v>
      </c>
      <c r="CP2" s="24" t="s">
        <v>279</v>
      </c>
      <c r="CQ2" s="24" t="s">
        <v>282</v>
      </c>
      <c r="CR2" s="24" t="s">
        <v>285</v>
      </c>
      <c r="CS2" s="24" t="s">
        <v>288</v>
      </c>
      <c r="CT2" s="24" t="s">
        <v>291</v>
      </c>
      <c r="CU2" s="24" t="s">
        <v>294</v>
      </c>
      <c r="CV2" s="24" t="s">
        <v>297</v>
      </c>
      <c r="CW2" s="24" t="s">
        <v>300</v>
      </c>
      <c r="CX2" s="24" t="s">
        <v>303</v>
      </c>
      <c r="CY2" s="24" t="s">
        <v>306</v>
      </c>
      <c r="CZ2" s="24" t="s">
        <v>309</v>
      </c>
      <c r="DA2" s="24" t="s">
        <v>312</v>
      </c>
      <c r="DB2" s="24" t="s">
        <v>315</v>
      </c>
      <c r="DC2" s="24" t="s">
        <v>318</v>
      </c>
      <c r="DD2" s="24" t="s">
        <v>321</v>
      </c>
      <c r="DE2" s="24" t="s">
        <v>324</v>
      </c>
    </row>
    <row r="3" spans="1:115">
      <c r="D3" s="10" t="s">
        <v>328</v>
      </c>
      <c r="E3" s="22" t="s">
        <v>329</v>
      </c>
      <c r="F3" s="22" t="s">
        <v>329</v>
      </c>
      <c r="G3" s="22" t="s">
        <v>330</v>
      </c>
      <c r="H3" s="22" t="s">
        <v>331</v>
      </c>
      <c r="I3" s="22" t="s">
        <v>332</v>
      </c>
      <c r="J3" s="22" t="s">
        <v>331</v>
      </c>
      <c r="K3" s="22" t="s">
        <v>333</v>
      </c>
      <c r="L3" s="22" t="s">
        <v>331</v>
      </c>
      <c r="M3" s="22" t="s">
        <v>331</v>
      </c>
      <c r="N3" s="22" t="s">
        <v>330</v>
      </c>
      <c r="O3" s="22" t="s">
        <v>330</v>
      </c>
      <c r="P3" s="22" t="s">
        <v>333</v>
      </c>
      <c r="Q3" s="22" t="s">
        <v>332</v>
      </c>
      <c r="R3" s="22" t="s">
        <v>332</v>
      </c>
      <c r="S3" s="22" t="s">
        <v>330</v>
      </c>
      <c r="T3" s="22" t="s">
        <v>330</v>
      </c>
      <c r="U3" s="22" t="s">
        <v>330</v>
      </c>
      <c r="V3" s="22" t="s">
        <v>330</v>
      </c>
      <c r="W3" s="22" t="s">
        <v>330</v>
      </c>
      <c r="X3" s="22" t="s">
        <v>330</v>
      </c>
      <c r="Y3" s="22" t="s">
        <v>330</v>
      </c>
      <c r="Z3" s="22" t="s">
        <v>330</v>
      </c>
      <c r="AA3" s="22" t="s">
        <v>329</v>
      </c>
      <c r="AB3" s="22" t="s">
        <v>331</v>
      </c>
      <c r="AC3" s="22" t="s">
        <v>331</v>
      </c>
      <c r="AD3" s="22" t="s">
        <v>330</v>
      </c>
      <c r="AE3" s="22" t="s">
        <v>333</v>
      </c>
      <c r="AF3" s="22" t="s">
        <v>329</v>
      </c>
      <c r="AG3" s="22" t="s">
        <v>331</v>
      </c>
      <c r="AH3" s="22" t="s">
        <v>331</v>
      </c>
      <c r="AI3" s="22" t="s">
        <v>329</v>
      </c>
      <c r="AJ3" s="22" t="s">
        <v>329</v>
      </c>
      <c r="AK3" s="22" t="s">
        <v>330</v>
      </c>
      <c r="AL3" s="22" t="s">
        <v>331</v>
      </c>
      <c r="AM3" s="22" t="s">
        <v>333</v>
      </c>
      <c r="AN3" s="22" t="s">
        <v>331</v>
      </c>
      <c r="AO3" s="22" t="s">
        <v>330</v>
      </c>
      <c r="AP3" s="22" t="s">
        <v>331</v>
      </c>
      <c r="AQ3" s="22" t="s">
        <v>333</v>
      </c>
      <c r="AR3" s="22" t="s">
        <v>331</v>
      </c>
      <c r="AS3" s="22" t="s">
        <v>329</v>
      </c>
      <c r="AT3" s="22" t="s">
        <v>330</v>
      </c>
      <c r="AU3" s="22" t="s">
        <v>331</v>
      </c>
      <c r="AV3" s="22" t="s">
        <v>329</v>
      </c>
      <c r="AW3" s="22" t="s">
        <v>331</v>
      </c>
      <c r="AX3" s="22" t="s">
        <v>329</v>
      </c>
      <c r="AY3" s="22" t="s">
        <v>329</v>
      </c>
      <c r="AZ3" s="22" t="s">
        <v>329</v>
      </c>
      <c r="BA3" s="22" t="s">
        <v>331</v>
      </c>
      <c r="BB3" s="22" t="s">
        <v>330</v>
      </c>
      <c r="BC3" s="22" t="s">
        <v>331</v>
      </c>
      <c r="BD3" s="22" t="s">
        <v>331</v>
      </c>
      <c r="BE3" s="22" t="s">
        <v>329</v>
      </c>
      <c r="BF3" s="22" t="s">
        <v>329</v>
      </c>
      <c r="BG3" s="22" t="s">
        <v>332</v>
      </c>
      <c r="BH3" s="22" t="s">
        <v>333</v>
      </c>
      <c r="BI3" s="22" t="s">
        <v>330</v>
      </c>
      <c r="BJ3" s="22" t="s">
        <v>331</v>
      </c>
      <c r="BK3" s="22" t="s">
        <v>331</v>
      </c>
      <c r="BL3" s="22" t="s">
        <v>331</v>
      </c>
      <c r="BM3" s="22" t="s">
        <v>331</v>
      </c>
      <c r="BN3" s="22" t="s">
        <v>334</v>
      </c>
      <c r="BO3" s="22" t="s">
        <v>331</v>
      </c>
      <c r="BP3" s="22" t="s">
        <v>329</v>
      </c>
      <c r="BQ3" s="22" t="s">
        <v>329</v>
      </c>
      <c r="BR3" s="22" t="s">
        <v>334</v>
      </c>
      <c r="BS3" s="22" t="s">
        <v>333</v>
      </c>
      <c r="BT3" s="22" t="s">
        <v>331</v>
      </c>
      <c r="BU3" s="22" t="s">
        <v>330</v>
      </c>
      <c r="BV3" s="22" t="s">
        <v>331</v>
      </c>
      <c r="BW3" s="22" t="s">
        <v>334</v>
      </c>
      <c r="BX3" s="22" t="s">
        <v>331</v>
      </c>
      <c r="BY3" s="22" t="s">
        <v>331</v>
      </c>
      <c r="BZ3" s="22" t="s">
        <v>330</v>
      </c>
      <c r="CA3" s="22" t="s">
        <v>329</v>
      </c>
      <c r="CB3" s="22" t="s">
        <v>331</v>
      </c>
      <c r="CC3" s="22" t="s">
        <v>331</v>
      </c>
      <c r="CD3" s="22" t="s">
        <v>330</v>
      </c>
      <c r="CE3" s="22" t="s">
        <v>331</v>
      </c>
      <c r="CF3" s="22" t="s">
        <v>331</v>
      </c>
      <c r="CG3" s="22" t="s">
        <v>329</v>
      </c>
      <c r="CH3" s="22" t="s">
        <v>329</v>
      </c>
      <c r="CI3" s="22" t="s">
        <v>330</v>
      </c>
      <c r="CJ3" s="22" t="s">
        <v>330</v>
      </c>
      <c r="CK3" s="22" t="s">
        <v>333</v>
      </c>
      <c r="CL3" s="22" t="s">
        <v>333</v>
      </c>
      <c r="CM3" s="22" t="s">
        <v>331</v>
      </c>
      <c r="CN3" s="22" t="s">
        <v>333</v>
      </c>
      <c r="CO3" s="22" t="s">
        <v>329</v>
      </c>
      <c r="CP3" s="22" t="s">
        <v>333</v>
      </c>
      <c r="CQ3" s="22" t="s">
        <v>329</v>
      </c>
      <c r="CR3" s="22" t="s">
        <v>331</v>
      </c>
      <c r="CS3" s="22" t="s">
        <v>331</v>
      </c>
      <c r="CT3" s="22" t="s">
        <v>331</v>
      </c>
      <c r="CU3" s="22" t="s">
        <v>331</v>
      </c>
      <c r="CV3" s="22" t="s">
        <v>330</v>
      </c>
      <c r="CW3" s="22" t="s">
        <v>330</v>
      </c>
      <c r="CX3" s="22" t="s">
        <v>330</v>
      </c>
      <c r="CY3" s="22" t="s">
        <v>329</v>
      </c>
      <c r="CZ3" s="22"/>
      <c r="DA3" s="22"/>
      <c r="DB3" s="22"/>
      <c r="DC3" s="22"/>
      <c r="DD3" s="22"/>
      <c r="DE3" s="22"/>
    </row>
    <row r="4" spans="1:115">
      <c r="A4" s="9" t="s">
        <v>335</v>
      </c>
      <c r="B4" s="8"/>
      <c r="C4" s="8" t="s">
        <v>336</v>
      </c>
      <c r="D4" s="7" t="s">
        <v>337</v>
      </c>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K4" s="16" t="s">
        <v>338</v>
      </c>
    </row>
    <row r="5" spans="1:115" ht="60">
      <c r="A5" s="27" t="s">
        <v>333</v>
      </c>
      <c r="B5" s="28" t="s">
        <v>339</v>
      </c>
      <c r="C5" s="3">
        <v>1</v>
      </c>
      <c r="D5" s="6" t="s">
        <v>340</v>
      </c>
      <c r="E5" s="1"/>
      <c r="F5" s="1"/>
      <c r="G5" s="1"/>
      <c r="H5" s="1"/>
      <c r="I5" s="1"/>
      <c r="J5" s="1"/>
      <c r="K5" s="1">
        <v>0</v>
      </c>
      <c r="L5" s="1"/>
      <c r="M5" s="1"/>
      <c r="N5" s="1"/>
      <c r="O5" s="1"/>
      <c r="P5" s="1">
        <v>0</v>
      </c>
      <c r="Q5" s="1"/>
      <c r="R5" s="1"/>
      <c r="S5" s="1"/>
      <c r="T5" s="1"/>
      <c r="U5" s="1"/>
      <c r="V5" s="1"/>
      <c r="W5" s="1"/>
      <c r="X5" s="1"/>
      <c r="Y5" s="1"/>
      <c r="Z5" s="1"/>
      <c r="AA5" s="1"/>
      <c r="AB5" s="1"/>
      <c r="AC5" s="1"/>
      <c r="AD5" s="1"/>
      <c r="AE5" s="1">
        <v>2</v>
      </c>
      <c r="AF5" s="1"/>
      <c r="AG5" s="1"/>
      <c r="AH5" s="1"/>
      <c r="AI5" s="1"/>
      <c r="AJ5" s="1"/>
      <c r="AK5" s="1"/>
      <c r="AL5" s="1"/>
      <c r="AM5" s="1">
        <v>0</v>
      </c>
      <c r="AN5" s="1"/>
      <c r="AO5" s="1"/>
      <c r="AP5" s="1"/>
      <c r="AQ5" s="1">
        <v>0</v>
      </c>
      <c r="AR5" s="1"/>
      <c r="AS5" s="1"/>
      <c r="AT5" s="1"/>
      <c r="AU5" s="1"/>
      <c r="AV5" s="1"/>
      <c r="AW5" s="1"/>
      <c r="AX5" s="1"/>
      <c r="AY5" s="1"/>
      <c r="AZ5" s="1"/>
      <c r="BA5" s="1"/>
      <c r="BB5" s="1"/>
      <c r="BC5" s="1">
        <v>2</v>
      </c>
      <c r="BD5" s="1"/>
      <c r="BE5" s="1"/>
      <c r="BF5" s="1"/>
      <c r="BG5" s="1"/>
      <c r="BH5" s="1">
        <v>2</v>
      </c>
      <c r="BI5" s="1"/>
      <c r="BJ5" s="1"/>
      <c r="BK5" s="1"/>
      <c r="BL5" s="1"/>
      <c r="BM5" s="1"/>
      <c r="BN5" s="1"/>
      <c r="BO5" s="1"/>
      <c r="BP5" s="1"/>
      <c r="BQ5" s="1"/>
      <c r="BR5" s="1"/>
      <c r="BS5" s="1">
        <v>0</v>
      </c>
      <c r="BT5" s="1"/>
      <c r="BU5" s="1"/>
      <c r="BV5" s="1"/>
      <c r="BW5" s="1"/>
      <c r="BX5" s="1"/>
      <c r="BY5" s="1"/>
      <c r="BZ5" s="1"/>
      <c r="CA5" s="1"/>
      <c r="CB5" s="1"/>
      <c r="CC5" s="1"/>
      <c r="CD5" s="1"/>
      <c r="CE5" s="1"/>
      <c r="CF5" s="1"/>
      <c r="CG5" s="1"/>
      <c r="CH5" s="1"/>
      <c r="CI5" s="1"/>
      <c r="CJ5" s="1"/>
      <c r="CK5" s="1">
        <v>0</v>
      </c>
      <c r="CL5" s="1">
        <v>0</v>
      </c>
      <c r="CM5" s="1"/>
      <c r="CN5" s="1">
        <v>3</v>
      </c>
      <c r="CO5" s="1"/>
      <c r="CP5" s="1">
        <v>0</v>
      </c>
      <c r="CQ5" s="1"/>
      <c r="CR5" s="1"/>
      <c r="CS5" s="1"/>
      <c r="CT5" s="1"/>
      <c r="CU5" s="1"/>
      <c r="CV5" s="1"/>
      <c r="CW5" s="1"/>
      <c r="CX5" s="1"/>
      <c r="CY5" s="1"/>
      <c r="CZ5" s="1"/>
      <c r="DA5" s="1"/>
      <c r="DB5" s="1"/>
      <c r="DC5" s="1"/>
      <c r="DD5" s="1"/>
      <c r="DE5" s="1"/>
      <c r="DI5" t="s">
        <v>333</v>
      </c>
      <c r="DK5" s="15" t="str">
        <f t="shared" ref="DK5:DK52" si="0">IF($A5="",DK4,IF($A5="DER Comunicationand&amp; Control (C&amp;C)","DER C&amp;C",$A5))</f>
        <v>IBR</v>
      </c>
    </row>
    <row r="6" spans="1:115" ht="36">
      <c r="A6" s="27"/>
      <c r="B6" s="26"/>
      <c r="C6" s="3">
        <v>2</v>
      </c>
      <c r="D6" s="2" t="s">
        <v>341</v>
      </c>
      <c r="E6" s="1"/>
      <c r="F6" s="1"/>
      <c r="G6" s="1"/>
      <c r="H6" s="1"/>
      <c r="I6" s="1"/>
      <c r="J6" s="1"/>
      <c r="K6" s="1">
        <v>0</v>
      </c>
      <c r="L6" s="1"/>
      <c r="M6" s="1"/>
      <c r="N6" s="1"/>
      <c r="O6" s="1"/>
      <c r="P6" s="1">
        <v>0</v>
      </c>
      <c r="Q6" s="1"/>
      <c r="R6" s="1"/>
      <c r="S6" s="1"/>
      <c r="T6" s="1"/>
      <c r="U6" s="1"/>
      <c r="V6" s="1"/>
      <c r="W6" s="1"/>
      <c r="X6" s="1"/>
      <c r="Y6" s="1"/>
      <c r="Z6" s="1"/>
      <c r="AA6" s="1"/>
      <c r="AB6" s="1"/>
      <c r="AC6" s="1"/>
      <c r="AD6" s="1"/>
      <c r="AE6" s="1">
        <v>0</v>
      </c>
      <c r="AF6" s="1"/>
      <c r="AG6" s="1"/>
      <c r="AH6" s="1"/>
      <c r="AI6" s="1"/>
      <c r="AJ6" s="1"/>
      <c r="AK6" s="1"/>
      <c r="AL6" s="1"/>
      <c r="AM6" s="1">
        <v>1</v>
      </c>
      <c r="AN6" s="1"/>
      <c r="AO6" s="1"/>
      <c r="AP6" s="1"/>
      <c r="AQ6" s="1">
        <v>0</v>
      </c>
      <c r="AR6" s="1"/>
      <c r="AS6" s="1"/>
      <c r="AT6" s="1"/>
      <c r="AU6" s="1"/>
      <c r="AV6" s="1"/>
      <c r="AW6" s="1"/>
      <c r="AX6" s="1"/>
      <c r="AY6" s="1"/>
      <c r="AZ6" s="1"/>
      <c r="BA6" s="1"/>
      <c r="BB6" s="1"/>
      <c r="BC6" s="1"/>
      <c r="BD6" s="1"/>
      <c r="BE6" s="1"/>
      <c r="BF6" s="1"/>
      <c r="BG6" s="1"/>
      <c r="BH6" s="1">
        <v>0</v>
      </c>
      <c r="BI6" s="1"/>
      <c r="BJ6" s="1"/>
      <c r="BK6" s="1"/>
      <c r="BL6" s="1"/>
      <c r="BM6" s="1"/>
      <c r="BN6" s="1"/>
      <c r="BO6" s="1"/>
      <c r="BP6" s="1"/>
      <c r="BQ6" s="1"/>
      <c r="BR6" s="1"/>
      <c r="BS6" s="1">
        <v>3</v>
      </c>
      <c r="BT6" s="1"/>
      <c r="BU6" s="1"/>
      <c r="BV6" s="1"/>
      <c r="BW6" s="1"/>
      <c r="BX6" s="1"/>
      <c r="BY6" s="1"/>
      <c r="BZ6" s="1"/>
      <c r="CA6" s="1"/>
      <c r="CB6" s="1"/>
      <c r="CC6" s="1"/>
      <c r="CD6" s="1"/>
      <c r="CE6" s="1"/>
      <c r="CF6" s="1"/>
      <c r="CG6" s="1"/>
      <c r="CH6" s="1"/>
      <c r="CI6" s="1"/>
      <c r="CJ6" s="1"/>
      <c r="CK6" s="1">
        <v>2</v>
      </c>
      <c r="CL6" s="1">
        <v>2</v>
      </c>
      <c r="CM6" s="1"/>
      <c r="CN6" s="1">
        <v>0</v>
      </c>
      <c r="CO6" s="1"/>
      <c r="CP6" s="1">
        <v>0</v>
      </c>
      <c r="CQ6" s="1"/>
      <c r="CR6" s="1"/>
      <c r="CS6" s="1"/>
      <c r="CT6" s="1"/>
      <c r="CU6" s="1"/>
      <c r="CV6" s="1"/>
      <c r="CW6" s="1"/>
      <c r="CX6" s="1"/>
      <c r="CY6" s="1"/>
      <c r="CZ6" s="1"/>
      <c r="DA6" s="1"/>
      <c r="DB6" s="1"/>
      <c r="DC6" s="1"/>
      <c r="DD6" s="1"/>
      <c r="DE6" s="1"/>
      <c r="DI6" t="s">
        <v>330</v>
      </c>
      <c r="DK6" s="15" t="str">
        <f t="shared" si="0"/>
        <v>IBR</v>
      </c>
    </row>
    <row r="7" spans="1:115" ht="40.5" customHeight="1">
      <c r="A7" s="27"/>
      <c r="B7" s="26"/>
      <c r="C7" s="5">
        <v>3</v>
      </c>
      <c r="D7" s="2" t="s">
        <v>342</v>
      </c>
      <c r="E7" s="1"/>
      <c r="F7" s="1"/>
      <c r="G7" s="1"/>
      <c r="H7" s="1"/>
      <c r="I7" s="1"/>
      <c r="J7" s="1"/>
      <c r="K7" s="1">
        <v>0</v>
      </c>
      <c r="L7" s="1"/>
      <c r="M7" s="1"/>
      <c r="N7" s="1"/>
      <c r="O7" s="1"/>
      <c r="P7" s="1">
        <v>0</v>
      </c>
      <c r="Q7" s="1"/>
      <c r="R7" s="1"/>
      <c r="S7" s="1"/>
      <c r="T7" s="1"/>
      <c r="U7" s="1"/>
      <c r="V7" s="1"/>
      <c r="W7" s="1"/>
      <c r="X7" s="1"/>
      <c r="Y7" s="1"/>
      <c r="Z7" s="1"/>
      <c r="AA7" s="1"/>
      <c r="AB7" s="1"/>
      <c r="AC7" s="1"/>
      <c r="AD7" s="1"/>
      <c r="AE7" s="1">
        <v>2</v>
      </c>
      <c r="AF7" s="1"/>
      <c r="AG7" s="1"/>
      <c r="AH7" s="1"/>
      <c r="AI7" s="1"/>
      <c r="AJ7" s="1"/>
      <c r="AK7" s="1"/>
      <c r="AL7" s="1"/>
      <c r="AM7" s="1">
        <v>0</v>
      </c>
      <c r="AN7" s="1"/>
      <c r="AO7" s="1"/>
      <c r="AP7" s="1"/>
      <c r="AQ7" s="1">
        <v>0</v>
      </c>
      <c r="AR7" s="1"/>
      <c r="AS7" s="1"/>
      <c r="AT7" s="1"/>
      <c r="AU7" s="1"/>
      <c r="AV7" s="1"/>
      <c r="AW7" s="1"/>
      <c r="AX7" s="1"/>
      <c r="AY7" s="1"/>
      <c r="AZ7" s="1"/>
      <c r="BA7" s="1"/>
      <c r="BB7" s="1"/>
      <c r="BC7" s="1"/>
      <c r="BD7" s="1"/>
      <c r="BE7" s="1"/>
      <c r="BF7" s="1"/>
      <c r="BG7" s="1"/>
      <c r="BH7" s="1">
        <v>0</v>
      </c>
      <c r="BI7" s="1"/>
      <c r="BJ7" s="1"/>
      <c r="BK7" s="1"/>
      <c r="BL7" s="1"/>
      <c r="BM7" s="1"/>
      <c r="BN7" s="1"/>
      <c r="BO7" s="1"/>
      <c r="BP7" s="1"/>
      <c r="BQ7" s="1"/>
      <c r="BR7" s="1"/>
      <c r="BS7" s="1">
        <v>0</v>
      </c>
      <c r="BT7" s="1"/>
      <c r="BU7" s="1"/>
      <c r="BV7" s="1"/>
      <c r="BW7" s="1"/>
      <c r="BX7" s="1"/>
      <c r="BY7" s="1"/>
      <c r="BZ7" s="1"/>
      <c r="CA7" s="1"/>
      <c r="CB7" s="1"/>
      <c r="CC7" s="1"/>
      <c r="CD7" s="1"/>
      <c r="CE7" s="1"/>
      <c r="CF7" s="1"/>
      <c r="CG7" s="1"/>
      <c r="CH7" s="1"/>
      <c r="CI7" s="1"/>
      <c r="CJ7" s="1"/>
      <c r="CK7" s="1">
        <v>0</v>
      </c>
      <c r="CL7" s="1">
        <v>0</v>
      </c>
      <c r="CM7" s="1"/>
      <c r="CN7" s="1">
        <v>0</v>
      </c>
      <c r="CO7" s="1"/>
      <c r="CP7" s="1">
        <v>0</v>
      </c>
      <c r="CQ7" s="1"/>
      <c r="CR7" s="1"/>
      <c r="CS7" s="1"/>
      <c r="CT7" s="1"/>
      <c r="CU7" s="1"/>
      <c r="CV7" s="1"/>
      <c r="CW7" s="1"/>
      <c r="CX7" s="1"/>
      <c r="CY7" s="1"/>
      <c r="CZ7" s="1"/>
      <c r="DA7" s="1"/>
      <c r="DB7" s="1"/>
      <c r="DC7" s="1"/>
      <c r="DD7" s="1"/>
      <c r="DE7" s="1"/>
      <c r="DI7" t="s">
        <v>329</v>
      </c>
      <c r="DK7" s="15" t="str">
        <f t="shared" si="0"/>
        <v>IBR</v>
      </c>
    </row>
    <row r="8" spans="1:115" ht="48">
      <c r="A8" s="27"/>
      <c r="B8" s="26" t="s">
        <v>343</v>
      </c>
      <c r="C8" s="5">
        <v>4</v>
      </c>
      <c r="D8" s="2" t="s">
        <v>344</v>
      </c>
      <c r="E8" s="1"/>
      <c r="F8" s="1"/>
      <c r="G8" s="1"/>
      <c r="H8" s="1"/>
      <c r="I8" s="1"/>
      <c r="J8" s="1"/>
      <c r="K8" s="1">
        <v>0</v>
      </c>
      <c r="L8" s="1"/>
      <c r="M8" s="1"/>
      <c r="N8" s="1"/>
      <c r="O8" s="1"/>
      <c r="P8" s="1">
        <v>2</v>
      </c>
      <c r="Q8" s="1"/>
      <c r="R8" s="1"/>
      <c r="S8" s="1"/>
      <c r="T8" s="1"/>
      <c r="U8" s="1"/>
      <c r="V8" s="1"/>
      <c r="W8" s="1"/>
      <c r="X8" s="1"/>
      <c r="Y8" s="1"/>
      <c r="Z8" s="1"/>
      <c r="AA8" s="1"/>
      <c r="AB8" s="1"/>
      <c r="AC8" s="1"/>
      <c r="AD8" s="1"/>
      <c r="AE8" s="1">
        <v>1</v>
      </c>
      <c r="AF8" s="1"/>
      <c r="AG8" s="1"/>
      <c r="AH8" s="1"/>
      <c r="AI8" s="1"/>
      <c r="AJ8" s="1"/>
      <c r="AK8" s="1"/>
      <c r="AL8" s="1"/>
      <c r="AM8" s="1">
        <v>0</v>
      </c>
      <c r="AN8" s="1"/>
      <c r="AO8" s="1"/>
      <c r="AP8" s="1"/>
      <c r="AQ8" s="1">
        <v>2</v>
      </c>
      <c r="AR8" s="1"/>
      <c r="AS8" s="1"/>
      <c r="AT8" s="1"/>
      <c r="AU8" s="1"/>
      <c r="AV8" s="1"/>
      <c r="AW8" s="1"/>
      <c r="AX8" s="1"/>
      <c r="AY8" s="1"/>
      <c r="AZ8" s="1"/>
      <c r="BA8" s="1"/>
      <c r="BB8" s="1"/>
      <c r="BC8" s="1"/>
      <c r="BD8" s="1"/>
      <c r="BE8" s="1"/>
      <c r="BF8" s="1"/>
      <c r="BG8" s="1"/>
      <c r="BH8" s="1">
        <v>3</v>
      </c>
      <c r="BI8" s="1"/>
      <c r="BJ8" s="1"/>
      <c r="BK8" s="1"/>
      <c r="BL8" s="1"/>
      <c r="BM8" s="1"/>
      <c r="BN8" s="1"/>
      <c r="BO8" s="1"/>
      <c r="BP8" s="1"/>
      <c r="BQ8" s="1"/>
      <c r="BR8" s="1"/>
      <c r="BS8" s="1">
        <v>0</v>
      </c>
      <c r="BT8" s="1"/>
      <c r="BU8" s="1"/>
      <c r="BV8" s="1"/>
      <c r="BW8" s="1"/>
      <c r="BX8" s="1"/>
      <c r="BY8" s="1"/>
      <c r="BZ8" s="1"/>
      <c r="CA8" s="1"/>
      <c r="CB8" s="1"/>
      <c r="CC8" s="1"/>
      <c r="CD8" s="1"/>
      <c r="CE8" s="1"/>
      <c r="CF8" s="1"/>
      <c r="CG8" s="1"/>
      <c r="CH8" s="1"/>
      <c r="CI8" s="1"/>
      <c r="CJ8" s="1"/>
      <c r="CK8" s="1">
        <v>0</v>
      </c>
      <c r="CL8" s="1">
        <v>0</v>
      </c>
      <c r="CM8" s="1"/>
      <c r="CN8" s="1">
        <v>0</v>
      </c>
      <c r="CO8" s="1"/>
      <c r="CP8" s="1">
        <v>0</v>
      </c>
      <c r="CQ8" s="1"/>
      <c r="CR8" s="1"/>
      <c r="CS8" s="1"/>
      <c r="CT8" s="1"/>
      <c r="CU8" s="1"/>
      <c r="CV8" s="1"/>
      <c r="CW8" s="1"/>
      <c r="CX8" s="1"/>
      <c r="CY8" s="1"/>
      <c r="CZ8" s="1"/>
      <c r="DA8" s="1"/>
      <c r="DB8" s="1"/>
      <c r="DC8" s="1"/>
      <c r="DD8" s="1"/>
      <c r="DE8" s="1"/>
      <c r="DI8" t="s">
        <v>332</v>
      </c>
      <c r="DK8" s="15" t="str">
        <f t="shared" si="0"/>
        <v>IBR</v>
      </c>
    </row>
    <row r="9" spans="1:115" ht="48">
      <c r="A9" s="27"/>
      <c r="B9" s="26"/>
      <c r="C9" s="5">
        <f t="shared" ref="C9:C52" si="1">C8+1</f>
        <v>5</v>
      </c>
      <c r="D9" s="2" t="s">
        <v>345</v>
      </c>
      <c r="E9" s="1"/>
      <c r="F9" s="1"/>
      <c r="G9" s="1"/>
      <c r="H9" s="1"/>
      <c r="I9" s="1"/>
      <c r="J9" s="1"/>
      <c r="K9" s="1">
        <v>0</v>
      </c>
      <c r="L9" s="1"/>
      <c r="M9" s="1"/>
      <c r="N9" s="1"/>
      <c r="O9" s="1"/>
      <c r="P9" s="1">
        <v>0</v>
      </c>
      <c r="Q9" s="1"/>
      <c r="R9" s="1"/>
      <c r="S9" s="1"/>
      <c r="T9" s="1"/>
      <c r="U9" s="1"/>
      <c r="V9" s="1"/>
      <c r="W9" s="1"/>
      <c r="X9" s="1"/>
      <c r="Y9" s="1"/>
      <c r="Z9" s="1"/>
      <c r="AA9" s="1"/>
      <c r="AB9" s="1"/>
      <c r="AC9" s="1"/>
      <c r="AD9" s="1"/>
      <c r="AE9" s="1">
        <v>1</v>
      </c>
      <c r="AF9" s="1"/>
      <c r="AG9" s="1"/>
      <c r="AH9" s="1"/>
      <c r="AI9" s="1"/>
      <c r="AJ9" s="1"/>
      <c r="AK9" s="1"/>
      <c r="AL9" s="1"/>
      <c r="AM9" s="1">
        <v>0</v>
      </c>
      <c r="AN9" s="1"/>
      <c r="AO9" s="1"/>
      <c r="AP9" s="1"/>
      <c r="AQ9" s="1">
        <v>0</v>
      </c>
      <c r="AR9" s="1"/>
      <c r="AS9" s="1"/>
      <c r="AT9" s="1"/>
      <c r="AU9" s="1"/>
      <c r="AV9" s="1"/>
      <c r="AW9" s="1"/>
      <c r="AX9" s="1"/>
      <c r="AY9" s="1"/>
      <c r="AZ9" s="1"/>
      <c r="BA9" s="1"/>
      <c r="BB9" s="1"/>
      <c r="BC9" s="1"/>
      <c r="BD9" s="1"/>
      <c r="BE9" s="1"/>
      <c r="BF9" s="1"/>
      <c r="BG9" s="1"/>
      <c r="BH9" s="1">
        <v>0</v>
      </c>
      <c r="BI9" s="1"/>
      <c r="BJ9" s="1"/>
      <c r="BK9" s="1"/>
      <c r="BL9" s="1"/>
      <c r="BM9" s="1"/>
      <c r="BN9" s="1"/>
      <c r="BO9" s="1"/>
      <c r="BP9" s="1"/>
      <c r="BQ9" s="1"/>
      <c r="BR9" s="1"/>
      <c r="BS9" s="1">
        <v>0</v>
      </c>
      <c r="BT9" s="1"/>
      <c r="BU9" s="1"/>
      <c r="BV9" s="1"/>
      <c r="BW9" s="1"/>
      <c r="BX9" s="1"/>
      <c r="BY9" s="1"/>
      <c r="BZ9" s="1"/>
      <c r="CA9" s="1"/>
      <c r="CB9" s="1"/>
      <c r="CC9" s="1"/>
      <c r="CD9" s="1"/>
      <c r="CE9" s="1"/>
      <c r="CF9" s="1"/>
      <c r="CG9" s="1"/>
      <c r="CH9" s="1"/>
      <c r="CI9" s="1"/>
      <c r="CJ9" s="1"/>
      <c r="CK9" s="1">
        <v>0</v>
      </c>
      <c r="CL9" s="1">
        <v>0</v>
      </c>
      <c r="CM9" s="1"/>
      <c r="CN9" s="1">
        <v>0</v>
      </c>
      <c r="CO9" s="1"/>
      <c r="CP9" s="1">
        <v>0</v>
      </c>
      <c r="CQ9" s="1"/>
      <c r="CR9" s="1"/>
      <c r="CS9" s="1"/>
      <c r="CT9" s="1"/>
      <c r="CU9" s="1"/>
      <c r="CV9" s="1"/>
      <c r="CW9" s="1"/>
      <c r="CX9" s="1"/>
      <c r="CY9" s="1"/>
      <c r="CZ9" s="1"/>
      <c r="DA9" s="1"/>
      <c r="DB9" s="1"/>
      <c r="DC9" s="1"/>
      <c r="DD9" s="1"/>
      <c r="DE9" s="1"/>
      <c r="DI9" t="s">
        <v>346</v>
      </c>
      <c r="DK9" s="15" t="str">
        <f t="shared" si="0"/>
        <v>IBR</v>
      </c>
    </row>
    <row r="10" spans="1:115" ht="36">
      <c r="A10" s="27"/>
      <c r="B10" s="26"/>
      <c r="C10" s="5">
        <f t="shared" si="1"/>
        <v>6</v>
      </c>
      <c r="D10" s="2" t="s">
        <v>347</v>
      </c>
      <c r="E10" s="1"/>
      <c r="F10" s="1"/>
      <c r="G10" s="1"/>
      <c r="H10" s="1"/>
      <c r="I10" s="1"/>
      <c r="J10" s="1"/>
      <c r="K10" s="1">
        <v>0</v>
      </c>
      <c r="L10" s="1"/>
      <c r="M10" s="1"/>
      <c r="N10" s="1"/>
      <c r="O10" s="1"/>
      <c r="P10" s="1">
        <v>0</v>
      </c>
      <c r="Q10" s="1"/>
      <c r="R10" s="1"/>
      <c r="S10" s="1"/>
      <c r="T10" s="1"/>
      <c r="U10" s="1"/>
      <c r="V10" s="1"/>
      <c r="W10" s="1"/>
      <c r="X10" s="1"/>
      <c r="Y10" s="1"/>
      <c r="Z10" s="1"/>
      <c r="AA10" s="1"/>
      <c r="AB10" s="1"/>
      <c r="AC10" s="1"/>
      <c r="AD10" s="1"/>
      <c r="AE10" s="1">
        <v>0</v>
      </c>
      <c r="AF10" s="1"/>
      <c r="AG10" s="1"/>
      <c r="AH10" s="1"/>
      <c r="AI10" s="1"/>
      <c r="AJ10" s="1"/>
      <c r="AK10" s="1"/>
      <c r="AL10" s="1"/>
      <c r="AM10" s="1">
        <v>2</v>
      </c>
      <c r="AN10" s="1"/>
      <c r="AO10" s="1"/>
      <c r="AP10" s="1"/>
      <c r="AQ10" s="1">
        <v>0</v>
      </c>
      <c r="AR10" s="1"/>
      <c r="AS10" s="1"/>
      <c r="AT10" s="1"/>
      <c r="AU10" s="1"/>
      <c r="AV10" s="1"/>
      <c r="AW10" s="1"/>
      <c r="AX10" s="1"/>
      <c r="AY10" s="1"/>
      <c r="AZ10" s="1"/>
      <c r="BA10" s="1"/>
      <c r="BB10" s="1"/>
      <c r="BC10" s="1"/>
      <c r="BD10" s="1"/>
      <c r="BE10" s="1"/>
      <c r="BF10" s="1"/>
      <c r="BG10" s="1"/>
      <c r="BH10" s="1">
        <v>0</v>
      </c>
      <c r="BI10" s="1"/>
      <c r="BJ10" s="1"/>
      <c r="BK10" s="1"/>
      <c r="BL10" s="1"/>
      <c r="BM10" s="1"/>
      <c r="BN10" s="1"/>
      <c r="BO10" s="1"/>
      <c r="BP10" s="1"/>
      <c r="BQ10" s="1"/>
      <c r="BR10" s="1"/>
      <c r="BS10" s="1">
        <v>0</v>
      </c>
      <c r="BT10" s="1"/>
      <c r="BU10" s="1"/>
      <c r="BV10" s="1"/>
      <c r="BW10" s="1"/>
      <c r="BX10" s="1"/>
      <c r="BY10" s="1"/>
      <c r="BZ10" s="1"/>
      <c r="CA10" s="1"/>
      <c r="CB10" s="1"/>
      <c r="CC10" s="1"/>
      <c r="CD10" s="1"/>
      <c r="CE10" s="1"/>
      <c r="CF10" s="1"/>
      <c r="CG10" s="1"/>
      <c r="CH10" s="1"/>
      <c r="CI10" s="1"/>
      <c r="CJ10" s="1"/>
      <c r="CK10" s="1">
        <v>0</v>
      </c>
      <c r="CL10" s="1">
        <v>0</v>
      </c>
      <c r="CM10" s="1"/>
      <c r="CN10" s="1">
        <v>0</v>
      </c>
      <c r="CO10" s="1"/>
      <c r="CP10" s="1">
        <v>0</v>
      </c>
      <c r="CQ10" s="1"/>
      <c r="CR10" s="1"/>
      <c r="CS10" s="1"/>
      <c r="CT10" s="1"/>
      <c r="CU10" s="1"/>
      <c r="CV10" s="1"/>
      <c r="CW10" s="1"/>
      <c r="CX10" s="1"/>
      <c r="CY10" s="1"/>
      <c r="CZ10" s="1"/>
      <c r="DA10" s="1"/>
      <c r="DB10" s="1"/>
      <c r="DC10" s="1"/>
      <c r="DD10" s="1"/>
      <c r="DE10" s="1"/>
      <c r="DI10" t="s">
        <v>334</v>
      </c>
      <c r="DK10" s="15" t="str">
        <f t="shared" si="0"/>
        <v>IBR</v>
      </c>
    </row>
    <row r="11" spans="1:115" ht="36">
      <c r="A11" s="29" t="s">
        <v>330</v>
      </c>
      <c r="B11" s="4" t="s">
        <v>348</v>
      </c>
      <c r="C11" s="3">
        <f t="shared" si="1"/>
        <v>7</v>
      </c>
      <c r="D11" s="2" t="s">
        <v>349</v>
      </c>
      <c r="E11" s="1"/>
      <c r="F11" s="1"/>
      <c r="G11" s="1">
        <v>0</v>
      </c>
      <c r="H11" s="1"/>
      <c r="I11" s="1"/>
      <c r="J11" s="1"/>
      <c r="K11" s="1"/>
      <c r="L11" s="1"/>
      <c r="M11" s="1"/>
      <c r="N11" s="1">
        <v>0</v>
      </c>
      <c r="O11" s="1">
        <v>1</v>
      </c>
      <c r="P11" s="1"/>
      <c r="Q11" s="1"/>
      <c r="R11" s="1"/>
      <c r="S11" s="1">
        <v>0</v>
      </c>
      <c r="T11" s="1">
        <v>0</v>
      </c>
      <c r="U11" s="1">
        <v>0</v>
      </c>
      <c r="V11" s="1">
        <v>0</v>
      </c>
      <c r="W11" s="1">
        <v>0</v>
      </c>
      <c r="X11" s="1">
        <v>2</v>
      </c>
      <c r="Y11" s="1">
        <v>2</v>
      </c>
      <c r="Z11" s="1">
        <v>2</v>
      </c>
      <c r="AA11" s="1"/>
      <c r="AB11" s="1"/>
      <c r="AC11" s="1"/>
      <c r="AD11" s="1">
        <v>0</v>
      </c>
      <c r="AE11" s="1"/>
      <c r="AF11" s="1"/>
      <c r="AG11" s="1"/>
      <c r="AH11" s="1"/>
      <c r="AI11" s="1"/>
      <c r="AJ11" s="1"/>
      <c r="AK11" s="1">
        <v>2</v>
      </c>
      <c r="AL11" s="1"/>
      <c r="AM11" s="1"/>
      <c r="AN11" s="1"/>
      <c r="AO11" s="1">
        <v>1</v>
      </c>
      <c r="AP11" s="1"/>
      <c r="AQ11" s="1"/>
      <c r="AR11" s="1"/>
      <c r="AS11" s="1"/>
      <c r="AT11" s="1">
        <v>0</v>
      </c>
      <c r="AU11" s="1"/>
      <c r="AV11" s="1"/>
      <c r="AW11" s="1"/>
      <c r="AX11" s="1"/>
      <c r="AY11" s="1"/>
      <c r="AZ11" s="1"/>
      <c r="BA11" s="1"/>
      <c r="BB11" s="1">
        <v>0</v>
      </c>
      <c r="BC11" s="1"/>
      <c r="BD11" s="1"/>
      <c r="BE11" s="1"/>
      <c r="BF11" s="1"/>
      <c r="BG11" s="1"/>
      <c r="BH11" s="1"/>
      <c r="BI11" s="1">
        <v>0</v>
      </c>
      <c r="BJ11" s="1"/>
      <c r="BK11" s="1"/>
      <c r="BL11" s="1"/>
      <c r="BM11" s="1"/>
      <c r="BN11" s="1"/>
      <c r="BO11" s="1"/>
      <c r="BP11" s="1"/>
      <c r="BQ11" s="1"/>
      <c r="BR11" s="1"/>
      <c r="BS11" s="1"/>
      <c r="BT11" s="1"/>
      <c r="BU11" s="1">
        <v>2</v>
      </c>
      <c r="BV11" s="1"/>
      <c r="BW11" s="1"/>
      <c r="BX11" s="1"/>
      <c r="BY11" s="1"/>
      <c r="BZ11" s="1">
        <v>2</v>
      </c>
      <c r="CA11" s="1"/>
      <c r="CB11" s="1"/>
      <c r="CC11" s="1"/>
      <c r="CD11" s="1">
        <v>0</v>
      </c>
      <c r="CE11" s="1"/>
      <c r="CF11" s="1"/>
      <c r="CG11" s="1"/>
      <c r="CH11" s="1"/>
      <c r="CI11" s="1">
        <v>0</v>
      </c>
      <c r="CJ11" s="1">
        <v>0</v>
      </c>
      <c r="CK11" s="1"/>
      <c r="CL11" s="1"/>
      <c r="CM11" s="1"/>
      <c r="CN11" s="1"/>
      <c r="CO11" s="1"/>
      <c r="CP11" s="1"/>
      <c r="CQ11" s="1"/>
      <c r="CR11" s="1"/>
      <c r="CS11" s="1"/>
      <c r="CT11" s="1"/>
      <c r="CU11" s="1"/>
      <c r="CV11" s="1">
        <v>0</v>
      </c>
      <c r="CW11" s="1">
        <v>0</v>
      </c>
      <c r="CX11" s="1">
        <v>0</v>
      </c>
      <c r="CY11" s="1"/>
      <c r="CZ11" s="1"/>
      <c r="DA11" s="1"/>
      <c r="DB11" s="1"/>
      <c r="DC11" s="1"/>
      <c r="DD11" s="1"/>
      <c r="DE11" s="1"/>
      <c r="DI11" t="s">
        <v>331</v>
      </c>
      <c r="DK11" s="15" t="str">
        <f t="shared" si="0"/>
        <v>Stability</v>
      </c>
    </row>
    <row r="12" spans="1:115" ht="36">
      <c r="A12" s="29"/>
      <c r="B12" s="26" t="s">
        <v>350</v>
      </c>
      <c r="C12" s="3">
        <f t="shared" si="1"/>
        <v>8</v>
      </c>
      <c r="D12" s="2" t="s">
        <v>351</v>
      </c>
      <c r="E12" s="1"/>
      <c r="F12" s="1"/>
      <c r="G12" s="1">
        <v>0</v>
      </c>
      <c r="H12" s="1"/>
      <c r="I12" s="1"/>
      <c r="J12" s="1"/>
      <c r="K12" s="1"/>
      <c r="L12" s="1"/>
      <c r="M12" s="1"/>
      <c r="N12" s="1">
        <v>0</v>
      </c>
      <c r="O12" s="1">
        <v>0</v>
      </c>
      <c r="P12" s="1"/>
      <c r="Q12" s="1"/>
      <c r="R12" s="1"/>
      <c r="S12" s="1">
        <v>0</v>
      </c>
      <c r="T12" s="1">
        <v>0</v>
      </c>
      <c r="U12" s="1">
        <v>0</v>
      </c>
      <c r="V12" s="1">
        <v>0</v>
      </c>
      <c r="W12" s="1">
        <v>0</v>
      </c>
      <c r="X12" s="1">
        <v>1</v>
      </c>
      <c r="Y12" s="1">
        <v>1</v>
      </c>
      <c r="Z12" s="1">
        <v>1</v>
      </c>
      <c r="AA12" s="1"/>
      <c r="AB12" s="1"/>
      <c r="AC12" s="1"/>
      <c r="AD12" s="1">
        <v>0</v>
      </c>
      <c r="AE12" s="1"/>
      <c r="AF12" s="1"/>
      <c r="AG12" s="1"/>
      <c r="AH12" s="1"/>
      <c r="AI12" s="1"/>
      <c r="AJ12" s="1"/>
      <c r="AK12" s="1">
        <v>0</v>
      </c>
      <c r="AL12" s="1"/>
      <c r="AM12" s="1"/>
      <c r="AN12" s="1"/>
      <c r="AO12" s="1">
        <v>0</v>
      </c>
      <c r="AP12" s="1"/>
      <c r="AQ12" s="1"/>
      <c r="AR12" s="1"/>
      <c r="AS12" s="1"/>
      <c r="AT12" s="1">
        <v>0</v>
      </c>
      <c r="AU12" s="1"/>
      <c r="AV12" s="1"/>
      <c r="AW12" s="1"/>
      <c r="AX12" s="1"/>
      <c r="AY12" s="1"/>
      <c r="AZ12" s="1"/>
      <c r="BA12" s="1"/>
      <c r="BB12" s="1">
        <v>0</v>
      </c>
      <c r="BC12" s="1"/>
      <c r="BD12" s="1"/>
      <c r="BE12" s="1"/>
      <c r="BF12" s="1"/>
      <c r="BG12" s="1"/>
      <c r="BH12" s="1"/>
      <c r="BI12" s="1">
        <v>0</v>
      </c>
      <c r="BJ12" s="1"/>
      <c r="BK12" s="1"/>
      <c r="BL12" s="1"/>
      <c r="BM12" s="1"/>
      <c r="BN12" s="1"/>
      <c r="BO12" s="1"/>
      <c r="BP12" s="1"/>
      <c r="BQ12" s="1"/>
      <c r="BR12" s="1"/>
      <c r="BS12" s="1"/>
      <c r="BT12" s="1"/>
      <c r="BU12" s="1">
        <v>0</v>
      </c>
      <c r="BV12" s="1"/>
      <c r="BW12" s="1"/>
      <c r="BX12" s="1"/>
      <c r="BY12" s="1"/>
      <c r="BZ12" s="1">
        <v>0</v>
      </c>
      <c r="CA12" s="1"/>
      <c r="CB12" s="1"/>
      <c r="CC12" s="1"/>
      <c r="CD12" s="1">
        <v>0</v>
      </c>
      <c r="CE12" s="1"/>
      <c r="CF12" s="1"/>
      <c r="CG12" s="1"/>
      <c r="CH12" s="1"/>
      <c r="CI12" s="1">
        <v>0</v>
      </c>
      <c r="CJ12" s="1">
        <v>0</v>
      </c>
      <c r="CK12" s="1"/>
      <c r="CL12" s="1"/>
      <c r="CM12" s="1"/>
      <c r="CN12" s="1"/>
      <c r="CO12" s="1"/>
      <c r="CP12" s="1"/>
      <c r="CQ12" s="1"/>
      <c r="CR12" s="1"/>
      <c r="CS12" s="1"/>
      <c r="CT12" s="1"/>
      <c r="CU12" s="1"/>
      <c r="CV12" s="1">
        <v>0</v>
      </c>
      <c r="CW12" s="1">
        <v>0</v>
      </c>
      <c r="CX12" s="1">
        <v>0</v>
      </c>
      <c r="CY12" s="1"/>
      <c r="CZ12" s="1"/>
      <c r="DA12" s="1"/>
      <c r="DB12" s="1"/>
      <c r="DC12" s="1"/>
      <c r="DD12" s="1"/>
      <c r="DE12" s="1"/>
      <c r="DI12" t="s">
        <v>352</v>
      </c>
      <c r="DK12" s="15" t="str">
        <f t="shared" si="0"/>
        <v>Stability</v>
      </c>
    </row>
    <row r="13" spans="1:115" ht="36">
      <c r="A13" s="29"/>
      <c r="B13" s="26"/>
      <c r="C13" s="3">
        <f t="shared" si="1"/>
        <v>9</v>
      </c>
      <c r="D13" s="2" t="s">
        <v>353</v>
      </c>
      <c r="E13" s="1"/>
      <c r="F13" s="1"/>
      <c r="G13" s="1">
        <v>0</v>
      </c>
      <c r="H13" s="1"/>
      <c r="I13" s="1"/>
      <c r="J13" s="1"/>
      <c r="K13" s="1"/>
      <c r="L13" s="1"/>
      <c r="M13" s="1"/>
      <c r="N13" s="1">
        <v>0</v>
      </c>
      <c r="O13" s="1">
        <v>1</v>
      </c>
      <c r="P13" s="1"/>
      <c r="Q13" s="1"/>
      <c r="R13" s="1"/>
      <c r="S13" s="1">
        <v>0</v>
      </c>
      <c r="T13" s="1">
        <v>0</v>
      </c>
      <c r="U13" s="1">
        <v>3</v>
      </c>
      <c r="V13" s="1">
        <v>0</v>
      </c>
      <c r="W13" s="1">
        <v>2</v>
      </c>
      <c r="X13" s="1">
        <v>1</v>
      </c>
      <c r="Y13" s="1">
        <v>1</v>
      </c>
      <c r="Z13" s="1">
        <v>2</v>
      </c>
      <c r="AA13" s="1"/>
      <c r="AB13" s="1"/>
      <c r="AC13" s="1"/>
      <c r="AD13" s="1">
        <v>0</v>
      </c>
      <c r="AE13" s="1"/>
      <c r="AF13" s="1"/>
      <c r="AG13" s="1"/>
      <c r="AH13" s="1"/>
      <c r="AI13" s="1"/>
      <c r="AJ13" s="1"/>
      <c r="AK13" s="1">
        <v>0</v>
      </c>
      <c r="AL13" s="1"/>
      <c r="AM13" s="1"/>
      <c r="AN13" s="1"/>
      <c r="AO13" s="1">
        <v>2</v>
      </c>
      <c r="AP13" s="1"/>
      <c r="AQ13" s="1"/>
      <c r="AR13" s="1"/>
      <c r="AS13" s="1"/>
      <c r="AT13" s="1">
        <v>0</v>
      </c>
      <c r="AU13" s="1"/>
      <c r="AV13" s="1"/>
      <c r="AW13" s="1"/>
      <c r="AX13" s="1"/>
      <c r="AY13" s="1"/>
      <c r="AZ13" s="1"/>
      <c r="BA13" s="1"/>
      <c r="BB13" s="1">
        <v>2</v>
      </c>
      <c r="BC13" s="1"/>
      <c r="BD13" s="1"/>
      <c r="BE13" s="1"/>
      <c r="BF13" s="1"/>
      <c r="BG13" s="1"/>
      <c r="BH13" s="1">
        <v>3</v>
      </c>
      <c r="BI13" s="1">
        <v>0</v>
      </c>
      <c r="BJ13" s="1"/>
      <c r="BK13" s="1"/>
      <c r="BL13" s="1"/>
      <c r="BM13" s="1"/>
      <c r="BN13" s="1"/>
      <c r="BO13" s="1"/>
      <c r="BP13" s="1"/>
      <c r="BQ13" s="1"/>
      <c r="BR13" s="1"/>
      <c r="BS13" s="1"/>
      <c r="BT13" s="1"/>
      <c r="BU13" s="1">
        <v>2</v>
      </c>
      <c r="BV13" s="1"/>
      <c r="BW13" s="1"/>
      <c r="BX13" s="1"/>
      <c r="BY13" s="1"/>
      <c r="BZ13" s="1">
        <v>2</v>
      </c>
      <c r="CA13" s="1"/>
      <c r="CB13" s="1"/>
      <c r="CC13" s="1"/>
      <c r="CD13" s="1">
        <v>0</v>
      </c>
      <c r="CE13" s="1"/>
      <c r="CF13" s="1"/>
      <c r="CG13" s="1"/>
      <c r="CH13" s="1"/>
      <c r="CI13" s="1">
        <v>0</v>
      </c>
      <c r="CJ13" s="1">
        <v>0</v>
      </c>
      <c r="CK13" s="1"/>
      <c r="CL13" s="1"/>
      <c r="CM13" s="1"/>
      <c r="CN13" s="1"/>
      <c r="CO13" s="1">
        <v>2</v>
      </c>
      <c r="CP13" s="1"/>
      <c r="CQ13" s="1"/>
      <c r="CR13" s="1"/>
      <c r="CS13" s="1"/>
      <c r="CT13" s="1"/>
      <c r="CU13" s="1"/>
      <c r="CV13" s="1">
        <v>0</v>
      </c>
      <c r="CW13" s="1">
        <v>0</v>
      </c>
      <c r="CX13" s="1">
        <v>0</v>
      </c>
      <c r="CY13" s="1"/>
      <c r="CZ13" s="1"/>
      <c r="DA13" s="1"/>
      <c r="DB13" s="1"/>
      <c r="DC13" s="1"/>
      <c r="DD13" s="1"/>
      <c r="DE13" s="1"/>
      <c r="DK13" s="15" t="str">
        <f t="shared" si="0"/>
        <v>Stability</v>
      </c>
    </row>
    <row r="14" spans="1:115" ht="48">
      <c r="A14" s="29"/>
      <c r="B14" s="26"/>
      <c r="C14" s="3">
        <f t="shared" si="1"/>
        <v>10</v>
      </c>
      <c r="D14" s="2" t="s">
        <v>354</v>
      </c>
      <c r="E14" s="1"/>
      <c r="F14" s="1"/>
      <c r="G14" s="1">
        <v>0</v>
      </c>
      <c r="H14" s="1"/>
      <c r="I14" s="1"/>
      <c r="J14" s="1"/>
      <c r="K14" s="1"/>
      <c r="L14" s="1"/>
      <c r="M14" s="1"/>
      <c r="N14" s="1">
        <v>0</v>
      </c>
      <c r="O14" s="1">
        <v>0</v>
      </c>
      <c r="P14" s="1"/>
      <c r="Q14" s="1"/>
      <c r="R14" s="1"/>
      <c r="S14" s="1">
        <v>0</v>
      </c>
      <c r="T14" s="1">
        <v>0</v>
      </c>
      <c r="U14" s="1">
        <v>0</v>
      </c>
      <c r="V14" s="1">
        <v>0</v>
      </c>
      <c r="W14" s="1">
        <v>0</v>
      </c>
      <c r="X14" s="1">
        <v>0</v>
      </c>
      <c r="Y14" s="1">
        <v>0</v>
      </c>
      <c r="Z14" s="1">
        <v>0</v>
      </c>
      <c r="AA14" s="1"/>
      <c r="AB14" s="1"/>
      <c r="AC14" s="1"/>
      <c r="AD14" s="1">
        <v>0</v>
      </c>
      <c r="AE14" s="1"/>
      <c r="AF14" s="1"/>
      <c r="AG14" s="1"/>
      <c r="AH14" s="1"/>
      <c r="AI14" s="1"/>
      <c r="AJ14" s="1"/>
      <c r="AK14" s="1">
        <v>0</v>
      </c>
      <c r="AL14" s="1"/>
      <c r="AM14" s="1"/>
      <c r="AN14" s="1"/>
      <c r="AO14" s="1">
        <v>0</v>
      </c>
      <c r="AP14" s="1"/>
      <c r="AQ14" s="1"/>
      <c r="AR14" s="1"/>
      <c r="AS14" s="1"/>
      <c r="AT14" s="1">
        <v>0</v>
      </c>
      <c r="AU14" s="1"/>
      <c r="AV14" s="1"/>
      <c r="AW14" s="1"/>
      <c r="AX14" s="1"/>
      <c r="AY14" s="1"/>
      <c r="AZ14" s="1"/>
      <c r="BA14" s="1"/>
      <c r="BB14" s="1">
        <v>0</v>
      </c>
      <c r="BC14" s="1"/>
      <c r="BD14" s="1"/>
      <c r="BE14" s="1"/>
      <c r="BF14" s="1"/>
      <c r="BG14" s="1"/>
      <c r="BH14" s="1"/>
      <c r="BI14" s="1">
        <v>0</v>
      </c>
      <c r="BJ14" s="1"/>
      <c r="BK14" s="1"/>
      <c r="BL14" s="1"/>
      <c r="BM14" s="1"/>
      <c r="BN14" s="1"/>
      <c r="BO14" s="1"/>
      <c r="BP14" s="1"/>
      <c r="BQ14" s="1"/>
      <c r="BR14" s="1"/>
      <c r="BS14" s="1"/>
      <c r="BT14" s="1"/>
      <c r="BU14" s="1">
        <v>0</v>
      </c>
      <c r="BV14" s="1"/>
      <c r="BW14" s="1"/>
      <c r="BX14" s="1"/>
      <c r="BY14" s="1"/>
      <c r="BZ14" s="1">
        <v>0</v>
      </c>
      <c r="CA14" s="1"/>
      <c r="CB14" s="1"/>
      <c r="CC14" s="1"/>
      <c r="CD14" s="1">
        <v>0</v>
      </c>
      <c r="CE14" s="1"/>
      <c r="CF14" s="1"/>
      <c r="CG14" s="1"/>
      <c r="CH14" s="1"/>
      <c r="CI14" s="1">
        <v>0</v>
      </c>
      <c r="CJ14" s="1">
        <v>0</v>
      </c>
      <c r="CK14" s="1"/>
      <c r="CL14" s="1"/>
      <c r="CM14" s="1"/>
      <c r="CN14" s="1"/>
      <c r="CO14" s="1"/>
      <c r="CP14" s="1"/>
      <c r="CQ14" s="1"/>
      <c r="CR14" s="1"/>
      <c r="CS14" s="1"/>
      <c r="CT14" s="1"/>
      <c r="CU14" s="1"/>
      <c r="CV14" s="1">
        <v>0</v>
      </c>
      <c r="CW14" s="1">
        <v>0</v>
      </c>
      <c r="CX14" s="1">
        <v>0</v>
      </c>
      <c r="CY14" s="1"/>
      <c r="CZ14" s="1"/>
      <c r="DA14" s="1"/>
      <c r="DB14" s="1"/>
      <c r="DC14" s="1"/>
      <c r="DD14" s="1"/>
      <c r="DE14" s="1"/>
      <c r="DK14" s="15" t="str">
        <f t="shared" si="0"/>
        <v>Stability</v>
      </c>
    </row>
    <row r="15" spans="1:115" ht="48">
      <c r="A15" s="29"/>
      <c r="B15" s="26"/>
      <c r="C15" s="3">
        <f t="shared" si="1"/>
        <v>11</v>
      </c>
      <c r="D15" s="2" t="s">
        <v>355</v>
      </c>
      <c r="E15" s="1"/>
      <c r="F15" s="1"/>
      <c r="G15" s="1">
        <v>0</v>
      </c>
      <c r="H15" s="1"/>
      <c r="I15" s="1"/>
      <c r="J15" s="1"/>
      <c r="K15" s="1"/>
      <c r="L15" s="1"/>
      <c r="M15" s="1"/>
      <c r="N15" s="1">
        <v>0</v>
      </c>
      <c r="O15" s="1">
        <v>0</v>
      </c>
      <c r="P15" s="1"/>
      <c r="Q15" s="1"/>
      <c r="R15" s="1"/>
      <c r="S15" s="1">
        <v>0</v>
      </c>
      <c r="T15" s="1">
        <v>0</v>
      </c>
      <c r="U15" s="1">
        <v>0</v>
      </c>
      <c r="V15" s="1">
        <v>0</v>
      </c>
      <c r="W15" s="1">
        <v>0</v>
      </c>
      <c r="X15" s="1">
        <v>1</v>
      </c>
      <c r="Y15" s="1">
        <v>0</v>
      </c>
      <c r="Z15" s="1">
        <v>2</v>
      </c>
      <c r="AA15" s="1"/>
      <c r="AB15" s="1"/>
      <c r="AC15" s="1"/>
      <c r="AD15" s="1">
        <v>0</v>
      </c>
      <c r="AE15" s="1"/>
      <c r="AF15" s="1"/>
      <c r="AG15" s="1"/>
      <c r="AH15" s="1"/>
      <c r="AI15" s="1"/>
      <c r="AJ15" s="1"/>
      <c r="AK15" s="1">
        <v>0</v>
      </c>
      <c r="AL15" s="1"/>
      <c r="AM15" s="1"/>
      <c r="AN15" s="1"/>
      <c r="AO15" s="1">
        <v>2</v>
      </c>
      <c r="AP15" s="1"/>
      <c r="AQ15" s="1"/>
      <c r="AR15" s="1"/>
      <c r="AS15" s="1"/>
      <c r="AT15" s="1">
        <v>0</v>
      </c>
      <c r="AU15" s="1"/>
      <c r="AV15" s="1"/>
      <c r="AW15" s="1"/>
      <c r="AX15" s="1"/>
      <c r="AY15" s="1"/>
      <c r="AZ15" s="1"/>
      <c r="BA15" s="1"/>
      <c r="BB15" s="1">
        <v>2</v>
      </c>
      <c r="BC15" s="1"/>
      <c r="BD15" s="1"/>
      <c r="BE15" s="1"/>
      <c r="BF15" s="1"/>
      <c r="BG15" s="1"/>
      <c r="BH15" s="1"/>
      <c r="BI15" s="1">
        <v>0</v>
      </c>
      <c r="BJ15" s="1"/>
      <c r="BK15" s="1"/>
      <c r="BL15" s="1"/>
      <c r="BM15" s="1"/>
      <c r="BN15" s="1"/>
      <c r="BO15" s="1"/>
      <c r="BP15" s="1"/>
      <c r="BQ15" s="1"/>
      <c r="BR15" s="1"/>
      <c r="BS15" s="1"/>
      <c r="BT15" s="1"/>
      <c r="BU15" s="1">
        <v>2</v>
      </c>
      <c r="BV15" s="1"/>
      <c r="BW15" s="1"/>
      <c r="BX15" s="1"/>
      <c r="BY15" s="1"/>
      <c r="BZ15" s="1">
        <v>0</v>
      </c>
      <c r="CA15" s="1"/>
      <c r="CB15" s="1"/>
      <c r="CC15" s="1"/>
      <c r="CD15" s="1">
        <v>0</v>
      </c>
      <c r="CE15" s="1"/>
      <c r="CF15" s="1"/>
      <c r="CG15" s="1"/>
      <c r="CH15" s="1"/>
      <c r="CI15" s="1">
        <v>0</v>
      </c>
      <c r="CJ15" s="1">
        <v>0</v>
      </c>
      <c r="CK15" s="1"/>
      <c r="CL15" s="1"/>
      <c r="CM15" s="1"/>
      <c r="CN15" s="1"/>
      <c r="CO15" s="1">
        <v>2</v>
      </c>
      <c r="CP15" s="1"/>
      <c r="CQ15" s="1"/>
      <c r="CR15" s="1"/>
      <c r="CS15" s="1"/>
      <c r="CT15" s="1"/>
      <c r="CU15" s="1"/>
      <c r="CV15" s="1">
        <v>0</v>
      </c>
      <c r="CW15" s="1">
        <v>0</v>
      </c>
      <c r="CX15" s="1">
        <v>0</v>
      </c>
      <c r="CY15" s="1"/>
      <c r="CZ15" s="1"/>
      <c r="DA15" s="1"/>
      <c r="DB15" s="1"/>
      <c r="DC15" s="1"/>
      <c r="DD15" s="1"/>
      <c r="DE15" s="1"/>
      <c r="DK15" s="15" t="str">
        <f t="shared" si="0"/>
        <v>Stability</v>
      </c>
    </row>
    <row r="16" spans="1:115" ht="36">
      <c r="A16" s="25" t="s">
        <v>329</v>
      </c>
      <c r="B16" s="26" t="s">
        <v>356</v>
      </c>
      <c r="C16" s="3">
        <f t="shared" si="1"/>
        <v>12</v>
      </c>
      <c r="D16" s="2" t="s">
        <v>357</v>
      </c>
      <c r="E16" s="1">
        <v>2</v>
      </c>
      <c r="F16" s="1">
        <v>0</v>
      </c>
      <c r="G16" s="1"/>
      <c r="H16" s="1"/>
      <c r="I16" s="1"/>
      <c r="J16" s="1"/>
      <c r="K16" s="1"/>
      <c r="L16" s="1"/>
      <c r="M16" s="1"/>
      <c r="N16" s="1"/>
      <c r="O16" s="1"/>
      <c r="P16" s="1"/>
      <c r="Q16" s="1"/>
      <c r="R16" s="1"/>
      <c r="S16" s="1"/>
      <c r="T16" s="1"/>
      <c r="U16" s="1"/>
      <c r="V16" s="1"/>
      <c r="W16" s="1"/>
      <c r="X16" s="1"/>
      <c r="Y16" s="1"/>
      <c r="Z16" s="1"/>
      <c r="AA16" s="1">
        <v>3</v>
      </c>
      <c r="AB16" s="1"/>
      <c r="AC16" s="1"/>
      <c r="AD16" s="1"/>
      <c r="AE16" s="1"/>
      <c r="AF16" s="1">
        <v>0</v>
      </c>
      <c r="AG16" s="1"/>
      <c r="AH16" s="1"/>
      <c r="AI16" s="1">
        <v>0</v>
      </c>
      <c r="AJ16" s="1">
        <v>1</v>
      </c>
      <c r="AK16" s="1"/>
      <c r="AL16" s="1"/>
      <c r="AM16" s="1"/>
      <c r="AN16" s="1"/>
      <c r="AO16" s="1"/>
      <c r="AP16" s="1"/>
      <c r="AQ16" s="1"/>
      <c r="AR16" s="1"/>
      <c r="AS16" s="1">
        <v>0</v>
      </c>
      <c r="AT16" s="1"/>
      <c r="AU16" s="1"/>
      <c r="AV16" s="1">
        <v>3</v>
      </c>
      <c r="AW16" s="1"/>
      <c r="AX16" s="1">
        <v>2</v>
      </c>
      <c r="AY16" s="1">
        <v>0</v>
      </c>
      <c r="AZ16" s="1">
        <v>2</v>
      </c>
      <c r="BA16" s="1"/>
      <c r="BB16" s="1"/>
      <c r="BC16" s="1"/>
      <c r="BD16" s="1"/>
      <c r="BE16" s="1">
        <v>3</v>
      </c>
      <c r="BF16" s="1">
        <v>3</v>
      </c>
      <c r="BG16" s="1"/>
      <c r="BH16" s="1"/>
      <c r="BI16" s="1"/>
      <c r="BJ16" s="1"/>
      <c r="BK16" s="1"/>
      <c r="BL16" s="1"/>
      <c r="BM16" s="1"/>
      <c r="BN16" s="1"/>
      <c r="BO16" s="1"/>
      <c r="BP16" s="1">
        <v>0</v>
      </c>
      <c r="BQ16" s="1">
        <v>2</v>
      </c>
      <c r="BR16" s="1"/>
      <c r="BS16" s="1"/>
      <c r="BT16" s="1"/>
      <c r="BU16" s="1"/>
      <c r="BV16" s="1"/>
      <c r="BW16" s="1"/>
      <c r="BX16" s="1"/>
      <c r="BY16" s="1"/>
      <c r="BZ16" s="1"/>
      <c r="CA16" s="1">
        <v>2</v>
      </c>
      <c r="CB16" s="1"/>
      <c r="CC16" s="1"/>
      <c r="CD16" s="1"/>
      <c r="CE16" s="1"/>
      <c r="CF16" s="1"/>
      <c r="CG16" s="1">
        <v>0</v>
      </c>
      <c r="CH16" s="1">
        <v>0</v>
      </c>
      <c r="CI16" s="1"/>
      <c r="CJ16" s="1"/>
      <c r="CK16" s="1"/>
      <c r="CL16" s="1"/>
      <c r="CM16" s="1"/>
      <c r="CN16" s="1"/>
      <c r="CO16" s="1">
        <v>0</v>
      </c>
      <c r="CP16" s="1"/>
      <c r="CQ16" s="1">
        <v>0</v>
      </c>
      <c r="CR16" s="1"/>
      <c r="CS16" s="1"/>
      <c r="CT16" s="1"/>
      <c r="CU16" s="1"/>
      <c r="CV16" s="1"/>
      <c r="CW16" s="1"/>
      <c r="CX16" s="1"/>
      <c r="CY16" s="1">
        <v>2</v>
      </c>
      <c r="CZ16" s="1"/>
      <c r="DA16" s="1"/>
      <c r="DB16" s="1"/>
      <c r="DC16" s="1"/>
      <c r="DD16" s="1"/>
      <c r="DE16" s="1"/>
      <c r="DK16" s="15" t="str">
        <f t="shared" si="0"/>
        <v>DER System Services</v>
      </c>
    </row>
    <row r="17" spans="1:115" ht="48">
      <c r="A17" s="25"/>
      <c r="B17" s="26"/>
      <c r="C17" s="3">
        <f t="shared" si="1"/>
        <v>13</v>
      </c>
      <c r="D17" s="2" t="s">
        <v>358</v>
      </c>
      <c r="E17" s="1">
        <v>2</v>
      </c>
      <c r="F17" s="1">
        <v>0</v>
      </c>
      <c r="G17" s="1"/>
      <c r="H17" s="1"/>
      <c r="I17" s="1"/>
      <c r="J17" s="1"/>
      <c r="K17" s="1"/>
      <c r="L17" s="1"/>
      <c r="M17" s="1"/>
      <c r="N17" s="1"/>
      <c r="O17" s="1"/>
      <c r="P17" s="1"/>
      <c r="Q17" s="1"/>
      <c r="R17" s="1"/>
      <c r="S17" s="1"/>
      <c r="T17" s="1"/>
      <c r="U17" s="1"/>
      <c r="V17" s="1"/>
      <c r="W17" s="1"/>
      <c r="X17" s="1"/>
      <c r="Y17" s="1"/>
      <c r="Z17" s="1"/>
      <c r="AA17" s="1">
        <v>2</v>
      </c>
      <c r="AB17" s="1"/>
      <c r="AC17" s="1"/>
      <c r="AD17" s="1"/>
      <c r="AE17" s="1"/>
      <c r="AF17" s="1">
        <v>0</v>
      </c>
      <c r="AG17" s="1"/>
      <c r="AH17" s="1"/>
      <c r="AI17" s="1">
        <v>0</v>
      </c>
      <c r="AJ17" s="1">
        <v>0</v>
      </c>
      <c r="AK17" s="1"/>
      <c r="AL17" s="1"/>
      <c r="AM17" s="1"/>
      <c r="AN17" s="1"/>
      <c r="AO17" s="1"/>
      <c r="AP17" s="1"/>
      <c r="AQ17" s="1"/>
      <c r="AR17" s="1"/>
      <c r="AS17" s="1">
        <v>0</v>
      </c>
      <c r="AT17" s="1"/>
      <c r="AU17" s="1"/>
      <c r="AV17" s="1">
        <v>0</v>
      </c>
      <c r="AW17" s="1"/>
      <c r="AX17" s="1">
        <v>0</v>
      </c>
      <c r="AY17" s="1">
        <v>0</v>
      </c>
      <c r="AZ17" s="1">
        <v>0</v>
      </c>
      <c r="BA17" s="1"/>
      <c r="BB17" s="1"/>
      <c r="BC17" s="1"/>
      <c r="BD17" s="1"/>
      <c r="BE17" s="1">
        <v>2</v>
      </c>
      <c r="BF17" s="1">
        <v>2</v>
      </c>
      <c r="BG17" s="1"/>
      <c r="BH17" s="1"/>
      <c r="BI17" s="1"/>
      <c r="BJ17" s="1"/>
      <c r="BK17" s="1"/>
      <c r="BL17" s="1"/>
      <c r="BM17" s="1"/>
      <c r="BN17" s="1"/>
      <c r="BO17" s="1"/>
      <c r="BP17" s="1">
        <v>0</v>
      </c>
      <c r="BQ17" s="1">
        <v>2</v>
      </c>
      <c r="BR17" s="1"/>
      <c r="BS17" s="1"/>
      <c r="BT17" s="1"/>
      <c r="BU17" s="1"/>
      <c r="BV17" s="1"/>
      <c r="BW17" s="1"/>
      <c r="BX17" s="1"/>
      <c r="BY17" s="1"/>
      <c r="BZ17" s="1"/>
      <c r="CA17" s="1">
        <v>0</v>
      </c>
      <c r="CB17" s="1"/>
      <c r="CC17" s="1"/>
      <c r="CD17" s="1"/>
      <c r="CE17" s="1"/>
      <c r="CF17" s="1"/>
      <c r="CG17" s="1">
        <v>0</v>
      </c>
      <c r="CH17" s="1">
        <v>0</v>
      </c>
      <c r="CI17" s="1"/>
      <c r="CJ17" s="1"/>
      <c r="CK17" s="1"/>
      <c r="CL17" s="1"/>
      <c r="CM17" s="1"/>
      <c r="CN17" s="1"/>
      <c r="CO17" s="1">
        <v>0</v>
      </c>
      <c r="CP17" s="1"/>
      <c r="CQ17" s="1">
        <v>0</v>
      </c>
      <c r="CR17" s="1"/>
      <c r="CS17" s="1"/>
      <c r="CT17" s="1"/>
      <c r="CU17" s="1"/>
      <c r="CV17" s="1"/>
      <c r="CW17" s="1"/>
      <c r="CX17" s="1"/>
      <c r="CY17" s="1">
        <v>2</v>
      </c>
      <c r="CZ17" s="1"/>
      <c r="DA17" s="1"/>
      <c r="DB17" s="1"/>
      <c r="DC17" s="1"/>
      <c r="DD17" s="1"/>
      <c r="DE17" s="1"/>
      <c r="DK17" s="15" t="str">
        <f t="shared" si="0"/>
        <v>DER System Services</v>
      </c>
    </row>
    <row r="18" spans="1:115" ht="36">
      <c r="A18" s="25"/>
      <c r="B18" s="26"/>
      <c r="C18" s="3">
        <f t="shared" si="1"/>
        <v>14</v>
      </c>
      <c r="D18" s="2" t="s">
        <v>359</v>
      </c>
      <c r="E18" s="1">
        <v>2</v>
      </c>
      <c r="F18" s="1">
        <v>0</v>
      </c>
      <c r="G18" s="1"/>
      <c r="H18" s="1"/>
      <c r="I18" s="1"/>
      <c r="J18" s="1"/>
      <c r="K18" s="1"/>
      <c r="L18" s="1"/>
      <c r="M18" s="1"/>
      <c r="N18" s="1"/>
      <c r="O18" s="1"/>
      <c r="P18" s="1"/>
      <c r="Q18" s="1"/>
      <c r="R18" s="1"/>
      <c r="S18" s="1"/>
      <c r="T18" s="1"/>
      <c r="U18" s="1"/>
      <c r="V18" s="1"/>
      <c r="W18" s="1"/>
      <c r="X18" s="1"/>
      <c r="Y18" s="1"/>
      <c r="Z18" s="1"/>
      <c r="AA18" s="1">
        <v>1</v>
      </c>
      <c r="AB18" s="1"/>
      <c r="AC18" s="1"/>
      <c r="AD18" s="1"/>
      <c r="AE18" s="1"/>
      <c r="AF18" s="1">
        <v>0</v>
      </c>
      <c r="AG18" s="1"/>
      <c r="AH18" s="1"/>
      <c r="AI18" s="1">
        <v>0</v>
      </c>
      <c r="AJ18" s="1">
        <v>0</v>
      </c>
      <c r="AK18" s="1"/>
      <c r="AL18" s="1"/>
      <c r="AM18" s="1"/>
      <c r="AN18" s="1"/>
      <c r="AO18" s="1"/>
      <c r="AP18" s="1"/>
      <c r="AQ18" s="1"/>
      <c r="AR18" s="1"/>
      <c r="AS18" s="1">
        <v>0</v>
      </c>
      <c r="AT18" s="1"/>
      <c r="AU18" s="1"/>
      <c r="AV18" s="1">
        <v>0</v>
      </c>
      <c r="AW18" s="1"/>
      <c r="AX18" s="1">
        <v>0</v>
      </c>
      <c r="AY18" s="1">
        <v>0</v>
      </c>
      <c r="AZ18" s="1">
        <v>0</v>
      </c>
      <c r="BA18" s="1"/>
      <c r="BB18" s="1"/>
      <c r="BC18" s="1"/>
      <c r="BD18" s="1"/>
      <c r="BE18" s="1">
        <v>3</v>
      </c>
      <c r="BF18" s="1">
        <v>3</v>
      </c>
      <c r="BG18" s="1"/>
      <c r="BH18" s="1"/>
      <c r="BI18" s="1"/>
      <c r="BJ18" s="1"/>
      <c r="BK18" s="1"/>
      <c r="BL18" s="1"/>
      <c r="BM18" s="1"/>
      <c r="BN18" s="1"/>
      <c r="BO18" s="1"/>
      <c r="BP18" s="1">
        <v>0</v>
      </c>
      <c r="BQ18" s="1">
        <v>2</v>
      </c>
      <c r="BR18" s="1"/>
      <c r="BS18" s="1"/>
      <c r="BT18" s="1"/>
      <c r="BU18" s="1"/>
      <c r="BV18" s="1"/>
      <c r="BW18" s="1"/>
      <c r="BX18" s="1"/>
      <c r="BY18" s="1"/>
      <c r="BZ18" s="1"/>
      <c r="CA18" s="1">
        <v>0</v>
      </c>
      <c r="CB18" s="1"/>
      <c r="CC18" s="1"/>
      <c r="CD18" s="1"/>
      <c r="CE18" s="1"/>
      <c r="CF18" s="1"/>
      <c r="CG18" s="1">
        <v>0</v>
      </c>
      <c r="CH18" s="1">
        <v>0</v>
      </c>
      <c r="CI18" s="1"/>
      <c r="CJ18" s="1"/>
      <c r="CK18" s="1"/>
      <c r="CL18" s="1"/>
      <c r="CM18" s="1"/>
      <c r="CN18" s="1"/>
      <c r="CO18" s="1">
        <v>0</v>
      </c>
      <c r="CP18" s="1"/>
      <c r="CQ18" s="1">
        <v>0</v>
      </c>
      <c r="CR18" s="1"/>
      <c r="CS18" s="1"/>
      <c r="CT18" s="1"/>
      <c r="CU18" s="1"/>
      <c r="CV18" s="1"/>
      <c r="CW18" s="1"/>
      <c r="CX18" s="1"/>
      <c r="CY18" s="1">
        <v>2</v>
      </c>
      <c r="CZ18" s="1"/>
      <c r="DA18" s="1"/>
      <c r="DB18" s="1"/>
      <c r="DC18" s="1"/>
      <c r="DD18" s="1"/>
      <c r="DE18" s="1"/>
      <c r="DK18" s="15" t="str">
        <f t="shared" si="0"/>
        <v>DER System Services</v>
      </c>
    </row>
    <row r="19" spans="1:115" ht="48">
      <c r="A19" s="25" t="s">
        <v>360</v>
      </c>
      <c r="B19" s="26" t="s">
        <v>361</v>
      </c>
      <c r="C19" s="3">
        <f t="shared" si="1"/>
        <v>15</v>
      </c>
      <c r="D19" s="2" t="s">
        <v>362</v>
      </c>
      <c r="E19" s="1"/>
      <c r="F19" s="1"/>
      <c r="G19" s="1"/>
      <c r="H19" s="1"/>
      <c r="I19" s="1">
        <v>2</v>
      </c>
      <c r="J19" s="1"/>
      <c r="K19" s="1"/>
      <c r="L19" s="1"/>
      <c r="M19" s="1"/>
      <c r="N19" s="1"/>
      <c r="O19" s="1"/>
      <c r="P19" s="1"/>
      <c r="Q19" s="1">
        <v>0</v>
      </c>
      <c r="R19" s="1">
        <v>0</v>
      </c>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v>2</v>
      </c>
      <c r="BH19" s="1"/>
      <c r="BI19" s="1"/>
      <c r="BJ19" s="1"/>
      <c r="BK19" s="1"/>
      <c r="BL19" s="1"/>
      <c r="BM19" s="1"/>
      <c r="BN19" s="1"/>
      <c r="BO19" s="1"/>
      <c r="BP19" s="1"/>
      <c r="BQ19" s="1"/>
      <c r="BR19" s="1"/>
      <c r="BS19" s="1"/>
      <c r="BT19" s="1"/>
      <c r="BU19" s="1"/>
      <c r="BV19" s="1">
        <v>3</v>
      </c>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K19" s="15" t="str">
        <f t="shared" si="0"/>
        <v>DER C&amp;C</v>
      </c>
    </row>
    <row r="20" spans="1:115" ht="36">
      <c r="A20" s="25"/>
      <c r="B20" s="26"/>
      <c r="C20" s="3">
        <f t="shared" si="1"/>
        <v>16</v>
      </c>
      <c r="D20" s="2" t="s">
        <v>363</v>
      </c>
      <c r="E20" s="1"/>
      <c r="F20" s="1"/>
      <c r="G20" s="1"/>
      <c r="H20" s="1"/>
      <c r="I20" s="1">
        <v>3</v>
      </c>
      <c r="J20" s="1"/>
      <c r="K20" s="1"/>
      <c r="L20" s="1"/>
      <c r="M20" s="1"/>
      <c r="N20" s="1"/>
      <c r="O20" s="1"/>
      <c r="P20" s="1"/>
      <c r="Q20" s="1">
        <v>0</v>
      </c>
      <c r="R20" s="1">
        <v>0</v>
      </c>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v>3</v>
      </c>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K20" s="15" t="str">
        <f t="shared" si="0"/>
        <v>DER C&amp;C</v>
      </c>
    </row>
    <row r="21" spans="1:115" ht="36">
      <c r="A21" s="25"/>
      <c r="B21" s="26" t="s">
        <v>364</v>
      </c>
      <c r="C21" s="3">
        <f t="shared" si="1"/>
        <v>17</v>
      </c>
      <c r="D21" s="2" t="s">
        <v>365</v>
      </c>
      <c r="E21" s="1"/>
      <c r="F21" s="1"/>
      <c r="G21" s="1"/>
      <c r="H21" s="1"/>
      <c r="I21" s="1">
        <v>2</v>
      </c>
      <c r="J21" s="1"/>
      <c r="K21" s="1"/>
      <c r="L21" s="1"/>
      <c r="M21" s="1"/>
      <c r="N21" s="1"/>
      <c r="O21" s="1"/>
      <c r="P21" s="1"/>
      <c r="Q21" s="1">
        <v>0</v>
      </c>
      <c r="R21" s="1">
        <v>0</v>
      </c>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v>3</v>
      </c>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K21" s="15" t="str">
        <f t="shared" si="0"/>
        <v>DER C&amp;C</v>
      </c>
    </row>
    <row r="22" spans="1:115" ht="72">
      <c r="A22" s="25"/>
      <c r="B22" s="26"/>
      <c r="C22" s="3">
        <f t="shared" si="1"/>
        <v>18</v>
      </c>
      <c r="D22" s="2" t="s">
        <v>366</v>
      </c>
      <c r="E22" s="1"/>
      <c r="F22" s="1"/>
      <c r="G22" s="1"/>
      <c r="H22" s="1"/>
      <c r="I22" s="1">
        <v>2</v>
      </c>
      <c r="J22" s="1"/>
      <c r="K22" s="1"/>
      <c r="L22" s="1"/>
      <c r="M22" s="1"/>
      <c r="N22" s="1"/>
      <c r="O22" s="1"/>
      <c r="P22" s="1"/>
      <c r="Q22" s="1">
        <v>0</v>
      </c>
      <c r="R22" s="1">
        <v>0</v>
      </c>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v>2</v>
      </c>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K22" s="15" t="str">
        <f t="shared" si="0"/>
        <v>DER C&amp;C</v>
      </c>
    </row>
    <row r="23" spans="1:115" ht="36">
      <c r="A23" s="27" t="s">
        <v>346</v>
      </c>
      <c r="B23" s="26" t="s">
        <v>367</v>
      </c>
      <c r="C23" s="5">
        <f t="shared" si="1"/>
        <v>19</v>
      </c>
      <c r="D23" s="2" t="s">
        <v>368</v>
      </c>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K23" s="15" t="str">
        <f t="shared" si="0"/>
        <v>CROF</v>
      </c>
    </row>
    <row r="24" spans="1:115" ht="48">
      <c r="A24" s="27"/>
      <c r="B24" s="26"/>
      <c r="C24" s="5">
        <f t="shared" si="1"/>
        <v>20</v>
      </c>
      <c r="D24" s="2" t="s">
        <v>369</v>
      </c>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K24" s="15" t="str">
        <f t="shared" si="0"/>
        <v>CROF</v>
      </c>
    </row>
    <row r="25" spans="1:115" ht="60">
      <c r="A25" s="27"/>
      <c r="B25" s="26"/>
      <c r="C25" s="5">
        <f t="shared" si="1"/>
        <v>21</v>
      </c>
      <c r="D25" s="2" t="s">
        <v>370</v>
      </c>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K25" s="15" t="str">
        <f t="shared" si="0"/>
        <v>CROF</v>
      </c>
    </row>
    <row r="26" spans="1:115" ht="36">
      <c r="A26" s="27"/>
      <c r="B26" s="26" t="s">
        <v>371</v>
      </c>
      <c r="C26" s="5">
        <f t="shared" si="1"/>
        <v>22</v>
      </c>
      <c r="D26" s="2" t="s">
        <v>372</v>
      </c>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K26" s="15" t="str">
        <f t="shared" si="0"/>
        <v>CROF</v>
      </c>
    </row>
    <row r="27" spans="1:115" ht="60">
      <c r="A27" s="27"/>
      <c r="B27" s="26"/>
      <c r="C27" s="5">
        <f t="shared" si="1"/>
        <v>23</v>
      </c>
      <c r="D27" s="2" t="s">
        <v>373</v>
      </c>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K27" s="15" t="str">
        <f t="shared" si="0"/>
        <v>CROF</v>
      </c>
    </row>
    <row r="28" spans="1:115" ht="36">
      <c r="A28" s="27"/>
      <c r="B28" s="26" t="s">
        <v>374</v>
      </c>
      <c r="C28" s="5">
        <f t="shared" si="1"/>
        <v>24</v>
      </c>
      <c r="D28" s="2" t="s">
        <v>375</v>
      </c>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K28" s="15" t="str">
        <f t="shared" si="0"/>
        <v>CROF</v>
      </c>
    </row>
    <row r="29" spans="1:115" ht="48">
      <c r="A29" s="27"/>
      <c r="B29" s="26"/>
      <c r="C29" s="5">
        <f t="shared" si="1"/>
        <v>25</v>
      </c>
      <c r="D29" s="2" t="s">
        <v>376</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K29" s="15" t="str">
        <f t="shared" si="0"/>
        <v>CROF</v>
      </c>
    </row>
    <row r="30" spans="1:115" ht="36">
      <c r="A30" s="27"/>
      <c r="B30" s="4" t="s">
        <v>377</v>
      </c>
      <c r="C30" s="5">
        <f t="shared" si="1"/>
        <v>26</v>
      </c>
      <c r="D30" s="2" t="s">
        <v>378</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K30" s="15" t="str">
        <f t="shared" si="0"/>
        <v>CROF</v>
      </c>
    </row>
    <row r="31" spans="1:115" ht="48">
      <c r="A31" s="27"/>
      <c r="B31" s="4" t="s">
        <v>379</v>
      </c>
      <c r="C31" s="5">
        <f t="shared" si="1"/>
        <v>27</v>
      </c>
      <c r="D31" s="2" t="s">
        <v>380</v>
      </c>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K31" s="15" t="str">
        <f t="shared" si="0"/>
        <v>CROF</v>
      </c>
    </row>
    <row r="32" spans="1:115" ht="48">
      <c r="A32" s="27" t="s">
        <v>334</v>
      </c>
      <c r="B32" s="26" t="s">
        <v>381</v>
      </c>
      <c r="C32" s="3">
        <f t="shared" si="1"/>
        <v>28</v>
      </c>
      <c r="D32" s="2" t="s">
        <v>382</v>
      </c>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v>0</v>
      </c>
      <c r="BO32" s="1"/>
      <c r="BP32" s="1"/>
      <c r="BQ32" s="1"/>
      <c r="BR32" s="1">
        <v>0</v>
      </c>
      <c r="BS32" s="1"/>
      <c r="BT32" s="1"/>
      <c r="BU32" s="1"/>
      <c r="BV32" s="1"/>
      <c r="BW32" s="1">
        <v>3</v>
      </c>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K32" s="15" t="str">
        <f t="shared" si="0"/>
        <v>System Services</v>
      </c>
    </row>
    <row r="33" spans="1:115" ht="48">
      <c r="A33" s="27"/>
      <c r="B33" s="26"/>
      <c r="C33" s="3">
        <f t="shared" si="1"/>
        <v>29</v>
      </c>
      <c r="D33" s="2" t="s">
        <v>383</v>
      </c>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v>0</v>
      </c>
      <c r="BO33" s="1"/>
      <c r="BP33" s="1"/>
      <c r="BQ33" s="1"/>
      <c r="BR33" s="1">
        <v>0</v>
      </c>
      <c r="BS33" s="1"/>
      <c r="BT33" s="1"/>
      <c r="BU33" s="1"/>
      <c r="BV33" s="1"/>
      <c r="BW33" s="1">
        <v>3</v>
      </c>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K33" s="15" t="str">
        <f t="shared" si="0"/>
        <v>System Services</v>
      </c>
    </row>
    <row r="34" spans="1:115" ht="24">
      <c r="A34" s="27"/>
      <c r="B34" s="26"/>
      <c r="C34" s="3">
        <f t="shared" si="1"/>
        <v>30</v>
      </c>
      <c r="D34" s="2" t="s">
        <v>384</v>
      </c>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v>3</v>
      </c>
      <c r="BO34" s="1"/>
      <c r="BP34" s="1"/>
      <c r="BQ34" s="1"/>
      <c r="BR34" s="1">
        <v>0</v>
      </c>
      <c r="BS34" s="1"/>
      <c r="BT34" s="1"/>
      <c r="BU34" s="1"/>
      <c r="BV34" s="1"/>
      <c r="BW34" s="1">
        <v>3</v>
      </c>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K34" s="15" t="str">
        <f t="shared" si="0"/>
        <v>System Services</v>
      </c>
    </row>
    <row r="35" spans="1:115" ht="36">
      <c r="A35" s="27"/>
      <c r="B35" s="26"/>
      <c r="C35" s="3">
        <f t="shared" si="1"/>
        <v>31</v>
      </c>
      <c r="D35" s="2" t="s">
        <v>385</v>
      </c>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v>0</v>
      </c>
      <c r="BO35" s="1"/>
      <c r="BP35" s="1"/>
      <c r="BQ35" s="1"/>
      <c r="BR35" s="1">
        <v>0</v>
      </c>
      <c r="BS35" s="1"/>
      <c r="BT35" s="1"/>
      <c r="BU35" s="1"/>
      <c r="BV35" s="1"/>
      <c r="BW35" s="1">
        <v>0</v>
      </c>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K35" s="15" t="str">
        <f t="shared" si="0"/>
        <v>System Services</v>
      </c>
    </row>
    <row r="36" spans="1:115" ht="36">
      <c r="A36" s="27"/>
      <c r="B36" s="26" t="s">
        <v>386</v>
      </c>
      <c r="C36" s="3">
        <f t="shared" si="1"/>
        <v>32</v>
      </c>
      <c r="D36" s="2" t="s">
        <v>387</v>
      </c>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v>0</v>
      </c>
      <c r="BO36" s="1"/>
      <c r="BP36" s="1"/>
      <c r="BQ36" s="1"/>
      <c r="BR36" s="1">
        <v>3</v>
      </c>
      <c r="BS36" s="1"/>
      <c r="BT36" s="1"/>
      <c r="BU36" s="1"/>
      <c r="BV36" s="1"/>
      <c r="BW36" s="1">
        <v>0</v>
      </c>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K36" s="15" t="str">
        <f t="shared" si="0"/>
        <v>System Services</v>
      </c>
    </row>
    <row r="37" spans="1:115" ht="60">
      <c r="A37" s="27"/>
      <c r="B37" s="26"/>
      <c r="C37" s="3">
        <f t="shared" si="1"/>
        <v>33</v>
      </c>
      <c r="D37" s="2" t="s">
        <v>388</v>
      </c>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v>0</v>
      </c>
      <c r="BO37" s="1"/>
      <c r="BP37" s="1"/>
      <c r="BQ37" s="1"/>
      <c r="BR37" s="1">
        <v>0</v>
      </c>
      <c r="BS37" s="1"/>
      <c r="BT37" s="1"/>
      <c r="BU37" s="1"/>
      <c r="BV37" s="1"/>
      <c r="BW37" s="1">
        <v>2</v>
      </c>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K37" s="15" t="str">
        <f t="shared" si="0"/>
        <v>System Services</v>
      </c>
    </row>
    <row r="38" spans="1:115" ht="36">
      <c r="A38" s="27"/>
      <c r="B38" s="26"/>
      <c r="C38" s="3">
        <f t="shared" si="1"/>
        <v>34</v>
      </c>
      <c r="D38" s="2" t="s">
        <v>389</v>
      </c>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v>0</v>
      </c>
      <c r="BO38" s="1"/>
      <c r="BP38" s="1"/>
      <c r="BQ38" s="1"/>
      <c r="BR38" s="1">
        <v>0</v>
      </c>
      <c r="BS38" s="1"/>
      <c r="BT38" s="1"/>
      <c r="BU38" s="1"/>
      <c r="BV38" s="1"/>
      <c r="BW38" s="1">
        <v>0</v>
      </c>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K38" s="15" t="str">
        <f t="shared" si="0"/>
        <v>System Services</v>
      </c>
    </row>
    <row r="39" spans="1:115" ht="60">
      <c r="A39" s="27"/>
      <c r="B39" s="26"/>
      <c r="C39" s="3">
        <f t="shared" si="1"/>
        <v>35</v>
      </c>
      <c r="D39" s="2" t="s">
        <v>390</v>
      </c>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v>0</v>
      </c>
      <c r="BO39" s="1"/>
      <c r="BP39" s="1"/>
      <c r="BQ39" s="1"/>
      <c r="BR39" s="1">
        <v>0</v>
      </c>
      <c r="BS39" s="1"/>
      <c r="BT39" s="1"/>
      <c r="BU39" s="1"/>
      <c r="BV39" s="1"/>
      <c r="BW39" s="1">
        <v>2</v>
      </c>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K39" s="15" t="str">
        <f t="shared" si="0"/>
        <v>System Services</v>
      </c>
    </row>
    <row r="40" spans="1:115" ht="36">
      <c r="A40" s="27"/>
      <c r="B40" s="26"/>
      <c r="C40" s="3">
        <f t="shared" si="1"/>
        <v>36</v>
      </c>
      <c r="D40" s="2" t="s">
        <v>391</v>
      </c>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v>0</v>
      </c>
      <c r="BO40" s="1"/>
      <c r="BP40" s="1"/>
      <c r="BQ40" s="1"/>
      <c r="BR40" s="1">
        <v>0</v>
      </c>
      <c r="BS40" s="1"/>
      <c r="BT40" s="1"/>
      <c r="BU40" s="1"/>
      <c r="BV40" s="1"/>
      <c r="BW40" s="1">
        <v>0</v>
      </c>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K40" s="15" t="str">
        <f t="shared" si="0"/>
        <v>System Services</v>
      </c>
    </row>
    <row r="41" spans="1:115" ht="36">
      <c r="A41" s="27" t="s">
        <v>331</v>
      </c>
      <c r="B41" s="26" t="s">
        <v>392</v>
      </c>
      <c r="C41" s="3">
        <f t="shared" si="1"/>
        <v>37</v>
      </c>
      <c r="D41" s="2" t="s">
        <v>393</v>
      </c>
      <c r="E41" s="1"/>
      <c r="F41" s="1"/>
      <c r="G41" s="1"/>
      <c r="H41" s="1">
        <v>0</v>
      </c>
      <c r="I41" s="1"/>
      <c r="J41" s="1">
        <v>1</v>
      </c>
      <c r="K41" s="1"/>
      <c r="L41" s="1">
        <v>0</v>
      </c>
      <c r="M41" s="1">
        <v>0</v>
      </c>
      <c r="N41" s="1"/>
      <c r="O41" s="1"/>
      <c r="P41" s="1"/>
      <c r="Q41" s="1"/>
      <c r="R41" s="1"/>
      <c r="S41" s="1"/>
      <c r="T41" s="1"/>
      <c r="U41" s="1"/>
      <c r="V41" s="1"/>
      <c r="W41" s="1"/>
      <c r="X41" s="1"/>
      <c r="Y41" s="1"/>
      <c r="Z41" s="1"/>
      <c r="AA41" s="1"/>
      <c r="AB41" s="1">
        <v>0</v>
      </c>
      <c r="AC41" s="1">
        <v>0</v>
      </c>
      <c r="AD41" s="1"/>
      <c r="AE41" s="1"/>
      <c r="AF41" s="1"/>
      <c r="AG41" s="1">
        <v>0</v>
      </c>
      <c r="AH41" s="1">
        <v>0</v>
      </c>
      <c r="AI41" s="1"/>
      <c r="AJ41" s="1"/>
      <c r="AK41" s="1"/>
      <c r="AL41" s="1">
        <v>0</v>
      </c>
      <c r="AM41" s="1"/>
      <c r="AN41" s="1">
        <v>0</v>
      </c>
      <c r="AO41" s="1"/>
      <c r="AP41" s="1">
        <v>0</v>
      </c>
      <c r="AQ41" s="1"/>
      <c r="AR41" s="1">
        <v>0</v>
      </c>
      <c r="AS41" s="1"/>
      <c r="AT41" s="1"/>
      <c r="AU41" s="1">
        <v>2</v>
      </c>
      <c r="AV41" s="1"/>
      <c r="AW41" s="1">
        <v>0</v>
      </c>
      <c r="AX41" s="1"/>
      <c r="AY41" s="1"/>
      <c r="AZ41" s="1"/>
      <c r="BA41" s="1">
        <v>0</v>
      </c>
      <c r="BB41" s="1"/>
      <c r="BC41" s="1">
        <v>0</v>
      </c>
      <c r="BD41" s="1">
        <v>2</v>
      </c>
      <c r="BE41" s="1"/>
      <c r="BF41" s="1"/>
      <c r="BG41" s="1"/>
      <c r="BH41" s="1"/>
      <c r="BI41" s="1"/>
      <c r="BJ41" s="1">
        <v>2</v>
      </c>
      <c r="BK41" s="1">
        <v>0</v>
      </c>
      <c r="BL41" s="1">
        <v>0</v>
      </c>
      <c r="BM41" s="1">
        <v>0</v>
      </c>
      <c r="BN41" s="1"/>
      <c r="BO41" s="1">
        <v>0</v>
      </c>
      <c r="BP41" s="1"/>
      <c r="BQ41" s="1"/>
      <c r="BR41" s="1"/>
      <c r="BS41" s="1"/>
      <c r="BT41" s="1">
        <v>0</v>
      </c>
      <c r="BU41" s="1"/>
      <c r="BV41" s="1">
        <v>0</v>
      </c>
      <c r="BW41" s="1"/>
      <c r="BX41" s="1">
        <v>0</v>
      </c>
      <c r="BY41" s="1">
        <v>0</v>
      </c>
      <c r="BZ41" s="1"/>
      <c r="CA41" s="1"/>
      <c r="CB41" s="1">
        <v>0</v>
      </c>
      <c r="CC41" s="1">
        <v>0</v>
      </c>
      <c r="CD41" s="1"/>
      <c r="CE41" s="1">
        <v>2</v>
      </c>
      <c r="CF41" s="1">
        <v>0</v>
      </c>
      <c r="CG41" s="1"/>
      <c r="CH41" s="1"/>
      <c r="CI41" s="1"/>
      <c r="CJ41" s="1"/>
      <c r="CK41" s="1"/>
      <c r="CL41" s="1"/>
      <c r="CM41" s="1">
        <v>0</v>
      </c>
      <c r="CN41" s="1"/>
      <c r="CO41" s="1"/>
      <c r="CP41" s="1"/>
      <c r="CQ41" s="1"/>
      <c r="CR41" s="1">
        <v>0</v>
      </c>
      <c r="CS41" s="1">
        <v>0</v>
      </c>
      <c r="CT41" s="1">
        <v>0</v>
      </c>
      <c r="CU41" s="1">
        <v>0</v>
      </c>
      <c r="CV41" s="1"/>
      <c r="CW41" s="1"/>
      <c r="CX41" s="1"/>
      <c r="CY41" s="1"/>
      <c r="CZ41" s="1"/>
      <c r="DA41" s="1"/>
      <c r="DB41" s="1"/>
      <c r="DC41" s="1"/>
      <c r="DD41" s="1"/>
      <c r="DE41" s="1"/>
      <c r="DK41" s="15" t="str">
        <f t="shared" si="0"/>
        <v>Planning</v>
      </c>
    </row>
    <row r="42" spans="1:115" ht="24">
      <c r="A42" s="27"/>
      <c r="B42" s="26"/>
      <c r="C42" s="3">
        <f t="shared" si="1"/>
        <v>38</v>
      </c>
      <c r="D42" s="2" t="s">
        <v>394</v>
      </c>
      <c r="E42" s="1"/>
      <c r="F42" s="1"/>
      <c r="G42" s="1"/>
      <c r="H42" s="1">
        <v>0</v>
      </c>
      <c r="I42" s="1"/>
      <c r="J42" s="1">
        <v>0</v>
      </c>
      <c r="K42" s="1"/>
      <c r="L42" s="1">
        <v>0</v>
      </c>
      <c r="M42" s="1">
        <v>0</v>
      </c>
      <c r="N42" s="1"/>
      <c r="O42" s="1"/>
      <c r="P42" s="1"/>
      <c r="Q42" s="1"/>
      <c r="R42" s="1"/>
      <c r="S42" s="1"/>
      <c r="T42" s="1"/>
      <c r="U42" s="1"/>
      <c r="V42" s="1"/>
      <c r="W42" s="1"/>
      <c r="X42" s="1"/>
      <c r="Y42" s="1"/>
      <c r="Z42" s="1"/>
      <c r="AA42" s="1"/>
      <c r="AB42" s="1">
        <v>0</v>
      </c>
      <c r="AC42" s="1">
        <v>3</v>
      </c>
      <c r="AD42" s="1"/>
      <c r="AE42" s="1"/>
      <c r="AF42" s="1"/>
      <c r="AG42" s="1">
        <v>0</v>
      </c>
      <c r="AH42" s="1">
        <v>0</v>
      </c>
      <c r="AI42" s="1"/>
      <c r="AJ42" s="1"/>
      <c r="AK42" s="1"/>
      <c r="AL42" s="1">
        <v>0</v>
      </c>
      <c r="AM42" s="1"/>
      <c r="AN42" s="1">
        <v>0</v>
      </c>
      <c r="AO42" s="1"/>
      <c r="AP42" s="1">
        <v>0</v>
      </c>
      <c r="AQ42" s="1"/>
      <c r="AR42" s="1">
        <v>0</v>
      </c>
      <c r="AS42" s="1"/>
      <c r="AT42" s="1"/>
      <c r="AU42" s="1">
        <v>0</v>
      </c>
      <c r="AV42" s="1"/>
      <c r="AW42" s="1">
        <v>0</v>
      </c>
      <c r="AX42" s="1"/>
      <c r="AY42" s="1"/>
      <c r="AZ42" s="1"/>
      <c r="BA42" s="1">
        <v>0</v>
      </c>
      <c r="BB42" s="1"/>
      <c r="BC42" s="1">
        <v>0</v>
      </c>
      <c r="BD42" s="1">
        <v>0</v>
      </c>
      <c r="BE42" s="1"/>
      <c r="BF42" s="1"/>
      <c r="BG42" s="1"/>
      <c r="BH42" s="1"/>
      <c r="BI42" s="1"/>
      <c r="BJ42" s="1">
        <v>0</v>
      </c>
      <c r="BK42" s="1">
        <v>0</v>
      </c>
      <c r="BL42" s="1">
        <v>0</v>
      </c>
      <c r="BM42" s="1">
        <v>0</v>
      </c>
      <c r="BN42" s="1"/>
      <c r="BO42" s="1">
        <v>0</v>
      </c>
      <c r="BP42" s="1"/>
      <c r="BQ42" s="1"/>
      <c r="BR42" s="1"/>
      <c r="BS42" s="1"/>
      <c r="BT42" s="1">
        <v>0</v>
      </c>
      <c r="BU42" s="1"/>
      <c r="BV42" s="1">
        <v>0</v>
      </c>
      <c r="BW42" s="1"/>
      <c r="BX42" s="1">
        <v>0</v>
      </c>
      <c r="BY42" s="1">
        <v>0</v>
      </c>
      <c r="BZ42" s="1"/>
      <c r="CA42" s="1"/>
      <c r="CB42" s="1">
        <v>0</v>
      </c>
      <c r="CC42" s="1">
        <v>0</v>
      </c>
      <c r="CD42" s="1"/>
      <c r="CE42" s="1">
        <v>0</v>
      </c>
      <c r="CF42" s="1">
        <v>0</v>
      </c>
      <c r="CG42" s="1"/>
      <c r="CH42" s="1"/>
      <c r="CI42" s="1"/>
      <c r="CJ42" s="1"/>
      <c r="CK42" s="1"/>
      <c r="CL42" s="1"/>
      <c r="CM42" s="1">
        <v>0</v>
      </c>
      <c r="CN42" s="1"/>
      <c r="CO42" s="1"/>
      <c r="CP42" s="1"/>
      <c r="CQ42" s="1"/>
      <c r="CR42" s="1">
        <v>0</v>
      </c>
      <c r="CS42" s="1">
        <v>0</v>
      </c>
      <c r="CT42" s="1">
        <v>0</v>
      </c>
      <c r="CU42" s="1">
        <v>0</v>
      </c>
      <c r="CV42" s="1"/>
      <c r="CW42" s="1"/>
      <c r="CX42" s="1"/>
      <c r="CY42" s="1"/>
      <c r="CZ42" s="1"/>
      <c r="DA42" s="1"/>
      <c r="DB42" s="1"/>
      <c r="DC42" s="1"/>
      <c r="DD42" s="1"/>
      <c r="DE42" s="1"/>
      <c r="DK42" s="15" t="str">
        <f t="shared" si="0"/>
        <v>Planning</v>
      </c>
    </row>
    <row r="43" spans="1:115" ht="60">
      <c r="A43" s="27"/>
      <c r="B43" s="26"/>
      <c r="C43" s="3">
        <f t="shared" si="1"/>
        <v>39</v>
      </c>
      <c r="D43" s="2" t="s">
        <v>395</v>
      </c>
      <c r="E43" s="1"/>
      <c r="F43" s="1"/>
      <c r="G43" s="1"/>
      <c r="H43" s="1">
        <v>0</v>
      </c>
      <c r="I43" s="1"/>
      <c r="J43" s="1">
        <v>0</v>
      </c>
      <c r="K43" s="1"/>
      <c r="L43" s="1">
        <v>0</v>
      </c>
      <c r="M43" s="1">
        <v>0</v>
      </c>
      <c r="N43" s="1"/>
      <c r="O43" s="1"/>
      <c r="P43" s="1"/>
      <c r="Q43" s="1"/>
      <c r="R43" s="1"/>
      <c r="S43" s="1"/>
      <c r="T43" s="1"/>
      <c r="U43" s="1"/>
      <c r="V43" s="1"/>
      <c r="W43" s="1"/>
      <c r="X43" s="1"/>
      <c r="Y43" s="1"/>
      <c r="Z43" s="1"/>
      <c r="AA43" s="1"/>
      <c r="AB43" s="1">
        <v>0</v>
      </c>
      <c r="AC43" s="1">
        <v>0</v>
      </c>
      <c r="AD43" s="1"/>
      <c r="AE43" s="1"/>
      <c r="AF43" s="1"/>
      <c r="AG43" s="1">
        <v>0</v>
      </c>
      <c r="AH43" s="1">
        <v>0</v>
      </c>
      <c r="AI43" s="1"/>
      <c r="AJ43" s="1"/>
      <c r="AK43" s="1"/>
      <c r="AL43" s="1">
        <v>0</v>
      </c>
      <c r="AM43" s="1"/>
      <c r="AN43" s="1">
        <v>0</v>
      </c>
      <c r="AO43" s="1"/>
      <c r="AP43" s="1">
        <v>0</v>
      </c>
      <c r="AQ43" s="1"/>
      <c r="AR43" s="1">
        <v>0</v>
      </c>
      <c r="AS43" s="1"/>
      <c r="AT43" s="1"/>
      <c r="AU43" s="1">
        <v>0</v>
      </c>
      <c r="AV43" s="1"/>
      <c r="AW43" s="1">
        <v>0</v>
      </c>
      <c r="AX43" s="1"/>
      <c r="AY43" s="1"/>
      <c r="AZ43" s="1"/>
      <c r="BA43" s="1">
        <v>0</v>
      </c>
      <c r="BB43" s="1"/>
      <c r="BC43" s="1">
        <v>0</v>
      </c>
      <c r="BD43" s="1">
        <v>1</v>
      </c>
      <c r="BE43" s="1"/>
      <c r="BF43" s="1"/>
      <c r="BG43" s="1"/>
      <c r="BH43" s="1"/>
      <c r="BI43" s="1"/>
      <c r="BJ43" s="1">
        <v>0</v>
      </c>
      <c r="BK43" s="1">
        <v>0</v>
      </c>
      <c r="BL43" s="1">
        <v>0</v>
      </c>
      <c r="BM43" s="1">
        <v>0</v>
      </c>
      <c r="BN43" s="1"/>
      <c r="BO43" s="1">
        <v>0</v>
      </c>
      <c r="BP43" s="1"/>
      <c r="BQ43" s="1"/>
      <c r="BR43" s="1"/>
      <c r="BS43" s="1"/>
      <c r="BT43" s="1">
        <v>0</v>
      </c>
      <c r="BU43" s="1"/>
      <c r="BV43" s="1">
        <v>0</v>
      </c>
      <c r="BW43" s="1"/>
      <c r="BX43" s="1">
        <v>0</v>
      </c>
      <c r="BY43" s="1">
        <v>2</v>
      </c>
      <c r="BZ43" s="1"/>
      <c r="CA43" s="1"/>
      <c r="CB43" s="1">
        <v>0</v>
      </c>
      <c r="CC43" s="1">
        <v>0</v>
      </c>
      <c r="CD43" s="1"/>
      <c r="CE43" s="1">
        <v>2</v>
      </c>
      <c r="CF43" s="1">
        <v>0</v>
      </c>
      <c r="CG43" s="1"/>
      <c r="CH43" s="1"/>
      <c r="CI43" s="1"/>
      <c r="CJ43" s="1"/>
      <c r="CK43" s="1"/>
      <c r="CL43" s="1"/>
      <c r="CM43" s="1">
        <v>0</v>
      </c>
      <c r="CN43" s="1"/>
      <c r="CO43" s="1"/>
      <c r="CP43" s="1"/>
      <c r="CQ43" s="1"/>
      <c r="CR43" s="1">
        <v>0</v>
      </c>
      <c r="CS43" s="1">
        <v>0</v>
      </c>
      <c r="CT43" s="1">
        <v>0</v>
      </c>
      <c r="CU43" s="1">
        <v>0</v>
      </c>
      <c r="CV43" s="1"/>
      <c r="CW43" s="1"/>
      <c r="CX43" s="1"/>
      <c r="CY43" s="1"/>
      <c r="CZ43" s="1"/>
      <c r="DA43" s="1"/>
      <c r="DB43" s="1"/>
      <c r="DC43" s="1"/>
      <c r="DD43" s="1"/>
      <c r="DE43" s="1"/>
      <c r="DK43" s="15" t="str">
        <f t="shared" si="0"/>
        <v>Planning</v>
      </c>
    </row>
    <row r="44" spans="1:115" ht="36">
      <c r="A44" s="27"/>
      <c r="B44" s="26"/>
      <c r="C44" s="3">
        <f t="shared" si="1"/>
        <v>40</v>
      </c>
      <c r="D44" s="2" t="s">
        <v>396</v>
      </c>
      <c r="E44" s="1"/>
      <c r="F44" s="1"/>
      <c r="G44" s="1"/>
      <c r="H44" s="1">
        <v>0</v>
      </c>
      <c r="I44" s="1"/>
      <c r="J44" s="1">
        <v>1</v>
      </c>
      <c r="K44" s="1"/>
      <c r="L44" s="1">
        <v>0</v>
      </c>
      <c r="M44" s="1">
        <v>0</v>
      </c>
      <c r="N44" s="1"/>
      <c r="O44" s="1"/>
      <c r="P44" s="1"/>
      <c r="Q44" s="1"/>
      <c r="R44" s="1"/>
      <c r="S44" s="1"/>
      <c r="T44" s="1"/>
      <c r="U44" s="1"/>
      <c r="V44" s="1"/>
      <c r="W44" s="1"/>
      <c r="X44" s="1"/>
      <c r="Y44" s="1"/>
      <c r="Z44" s="1"/>
      <c r="AA44" s="1"/>
      <c r="AB44" s="1">
        <v>0</v>
      </c>
      <c r="AC44" s="1">
        <v>0</v>
      </c>
      <c r="AD44" s="1"/>
      <c r="AE44" s="1"/>
      <c r="AF44" s="1"/>
      <c r="AG44" s="1">
        <v>0</v>
      </c>
      <c r="AH44" s="1">
        <v>0</v>
      </c>
      <c r="AI44" s="1"/>
      <c r="AJ44" s="1"/>
      <c r="AK44" s="1"/>
      <c r="AL44" s="1">
        <v>1</v>
      </c>
      <c r="AM44" s="1"/>
      <c r="AN44" s="1">
        <v>0</v>
      </c>
      <c r="AO44" s="1"/>
      <c r="AP44" s="1">
        <v>0</v>
      </c>
      <c r="AQ44" s="1"/>
      <c r="AR44" s="1">
        <v>0</v>
      </c>
      <c r="AS44" s="1"/>
      <c r="AT44" s="1"/>
      <c r="AU44" s="1">
        <v>2</v>
      </c>
      <c r="AV44" s="1"/>
      <c r="AW44" s="1">
        <v>0</v>
      </c>
      <c r="AX44" s="1"/>
      <c r="AY44" s="1"/>
      <c r="AZ44" s="1"/>
      <c r="BA44" s="1">
        <v>0</v>
      </c>
      <c r="BB44" s="1"/>
      <c r="BC44" s="1">
        <v>0</v>
      </c>
      <c r="BD44" s="1">
        <v>1</v>
      </c>
      <c r="BE44" s="1"/>
      <c r="BF44" s="1"/>
      <c r="BG44" s="1"/>
      <c r="BH44" s="1"/>
      <c r="BI44" s="1"/>
      <c r="BJ44" s="1">
        <v>0</v>
      </c>
      <c r="BK44" s="1">
        <v>0</v>
      </c>
      <c r="BL44" s="1">
        <v>0</v>
      </c>
      <c r="BM44" s="1">
        <v>0</v>
      </c>
      <c r="BN44" s="1"/>
      <c r="BO44" s="1">
        <v>0</v>
      </c>
      <c r="BP44" s="1"/>
      <c r="BQ44" s="1"/>
      <c r="BR44" s="1"/>
      <c r="BS44" s="1"/>
      <c r="BT44" s="1">
        <v>0</v>
      </c>
      <c r="BU44" s="1"/>
      <c r="BV44" s="1">
        <v>0</v>
      </c>
      <c r="BW44" s="1"/>
      <c r="BX44" s="1">
        <v>0</v>
      </c>
      <c r="BY44" s="1">
        <v>0</v>
      </c>
      <c r="BZ44" s="1"/>
      <c r="CA44" s="1"/>
      <c r="CB44" s="1">
        <v>0</v>
      </c>
      <c r="CC44" s="1">
        <v>0</v>
      </c>
      <c r="CD44" s="1"/>
      <c r="CE44" s="1">
        <v>1</v>
      </c>
      <c r="CF44" s="1">
        <v>0</v>
      </c>
      <c r="CG44" s="1"/>
      <c r="CH44" s="1"/>
      <c r="CI44" s="1"/>
      <c r="CJ44" s="1"/>
      <c r="CK44" s="1"/>
      <c r="CL44" s="1"/>
      <c r="CM44" s="1">
        <v>0</v>
      </c>
      <c r="CN44" s="1"/>
      <c r="CO44" s="1"/>
      <c r="CP44" s="1"/>
      <c r="CQ44" s="1"/>
      <c r="CR44" s="1">
        <v>0</v>
      </c>
      <c r="CS44" s="1">
        <v>0</v>
      </c>
      <c r="CT44" s="1">
        <v>0</v>
      </c>
      <c r="CU44" s="1">
        <v>0</v>
      </c>
      <c r="CV44" s="1"/>
      <c r="CW44" s="1"/>
      <c r="CX44" s="1"/>
      <c r="CY44" s="1"/>
      <c r="CZ44" s="1"/>
      <c r="DA44" s="1"/>
      <c r="DB44" s="1"/>
      <c r="DC44" s="1"/>
      <c r="DD44" s="1"/>
      <c r="DE44" s="1"/>
      <c r="DK44" s="15" t="str">
        <f t="shared" si="0"/>
        <v>Planning</v>
      </c>
    </row>
    <row r="45" spans="1:115" ht="36">
      <c r="A45" s="27"/>
      <c r="B45" s="26" t="s">
        <v>397</v>
      </c>
      <c r="C45" s="3">
        <f t="shared" si="1"/>
        <v>41</v>
      </c>
      <c r="D45" s="2" t="s">
        <v>398</v>
      </c>
      <c r="E45" s="1"/>
      <c r="F45" s="1"/>
      <c r="G45" s="1"/>
      <c r="H45" s="1">
        <v>3</v>
      </c>
      <c r="I45" s="1"/>
      <c r="J45" s="1">
        <v>2</v>
      </c>
      <c r="K45" s="1"/>
      <c r="L45" s="1">
        <v>0</v>
      </c>
      <c r="M45" s="1">
        <v>0</v>
      </c>
      <c r="N45" s="1"/>
      <c r="O45" s="1"/>
      <c r="P45" s="1"/>
      <c r="Q45" s="1"/>
      <c r="R45" s="1"/>
      <c r="S45" s="1"/>
      <c r="T45" s="1"/>
      <c r="U45" s="1"/>
      <c r="V45" s="1"/>
      <c r="W45" s="1"/>
      <c r="X45" s="1"/>
      <c r="Y45" s="1"/>
      <c r="Z45" s="1"/>
      <c r="AA45" s="1"/>
      <c r="AB45" s="1">
        <v>2</v>
      </c>
      <c r="AC45" s="1">
        <v>0</v>
      </c>
      <c r="AD45" s="1"/>
      <c r="AE45" s="1"/>
      <c r="AF45" s="1"/>
      <c r="AG45" s="1">
        <v>0</v>
      </c>
      <c r="AH45" s="1">
        <v>1</v>
      </c>
      <c r="AI45" s="1"/>
      <c r="AJ45" s="1"/>
      <c r="AK45" s="1"/>
      <c r="AL45" s="1">
        <v>0</v>
      </c>
      <c r="AM45" s="1"/>
      <c r="AN45" s="1">
        <v>2</v>
      </c>
      <c r="AO45" s="1"/>
      <c r="AP45" s="1">
        <v>0</v>
      </c>
      <c r="AQ45" s="1"/>
      <c r="AR45" s="1">
        <v>0</v>
      </c>
      <c r="AS45" s="1"/>
      <c r="AT45" s="1"/>
      <c r="AU45" s="1">
        <v>2</v>
      </c>
      <c r="AV45" s="1"/>
      <c r="AW45" s="1">
        <v>0</v>
      </c>
      <c r="AX45" s="1"/>
      <c r="AY45" s="1"/>
      <c r="AZ45" s="1"/>
      <c r="BA45" s="1">
        <v>0</v>
      </c>
      <c r="BB45" s="1"/>
      <c r="BC45" s="1">
        <v>0</v>
      </c>
      <c r="BD45" s="1">
        <v>2</v>
      </c>
      <c r="BE45" s="1"/>
      <c r="BF45" s="1"/>
      <c r="BG45" s="1"/>
      <c r="BH45" s="1"/>
      <c r="BI45" s="1"/>
      <c r="BJ45" s="1">
        <v>0</v>
      </c>
      <c r="BK45" s="1">
        <v>0</v>
      </c>
      <c r="BL45" s="1">
        <v>0</v>
      </c>
      <c r="BM45" s="1">
        <v>0</v>
      </c>
      <c r="BN45" s="1"/>
      <c r="BO45" s="1">
        <v>2</v>
      </c>
      <c r="BP45" s="1"/>
      <c r="BQ45" s="1"/>
      <c r="BR45" s="1"/>
      <c r="BS45" s="1"/>
      <c r="BT45" s="1">
        <v>0</v>
      </c>
      <c r="BU45" s="1"/>
      <c r="BV45" s="1">
        <v>2</v>
      </c>
      <c r="BW45" s="1"/>
      <c r="BX45" s="1">
        <v>0</v>
      </c>
      <c r="BY45" s="1">
        <v>3</v>
      </c>
      <c r="BZ45" s="1"/>
      <c r="CA45" s="1"/>
      <c r="CB45" s="1">
        <v>0</v>
      </c>
      <c r="CC45" s="1">
        <v>2</v>
      </c>
      <c r="CD45" s="1"/>
      <c r="CE45" s="1">
        <v>0</v>
      </c>
      <c r="CF45" s="1">
        <v>0</v>
      </c>
      <c r="CG45" s="1"/>
      <c r="CH45" s="1"/>
      <c r="CI45" s="1"/>
      <c r="CJ45" s="1"/>
      <c r="CK45" s="1"/>
      <c r="CL45" s="1"/>
      <c r="CM45" s="1">
        <v>2</v>
      </c>
      <c r="CN45" s="1"/>
      <c r="CO45" s="1"/>
      <c r="CP45" s="1"/>
      <c r="CQ45" s="1"/>
      <c r="CR45" s="1">
        <v>0</v>
      </c>
      <c r="CS45" s="1">
        <v>0</v>
      </c>
      <c r="CT45" s="1">
        <v>0</v>
      </c>
      <c r="CU45" s="1">
        <v>0</v>
      </c>
      <c r="CV45" s="1"/>
      <c r="CW45" s="1"/>
      <c r="CX45" s="1"/>
      <c r="CY45" s="1"/>
      <c r="CZ45" s="1"/>
      <c r="DA45" s="1"/>
      <c r="DB45" s="1"/>
      <c r="DC45" s="1"/>
      <c r="DD45" s="1"/>
      <c r="DE45" s="1"/>
      <c r="DK45" s="15" t="str">
        <f t="shared" si="0"/>
        <v>Planning</v>
      </c>
    </row>
    <row r="46" spans="1:115" ht="48">
      <c r="A46" s="27"/>
      <c r="B46" s="26"/>
      <c r="C46" s="3">
        <f t="shared" si="1"/>
        <v>42</v>
      </c>
      <c r="D46" s="2" t="s">
        <v>399</v>
      </c>
      <c r="E46" s="1"/>
      <c r="F46" s="1"/>
      <c r="G46" s="1"/>
      <c r="H46" s="1">
        <v>0</v>
      </c>
      <c r="I46" s="1"/>
      <c r="J46" s="1">
        <v>2</v>
      </c>
      <c r="K46" s="1"/>
      <c r="L46" s="1">
        <v>0</v>
      </c>
      <c r="M46" s="1">
        <v>0</v>
      </c>
      <c r="N46" s="1"/>
      <c r="O46" s="1"/>
      <c r="P46" s="1"/>
      <c r="Q46" s="1"/>
      <c r="R46" s="1"/>
      <c r="S46" s="1"/>
      <c r="T46" s="1"/>
      <c r="U46" s="1"/>
      <c r="V46" s="1"/>
      <c r="W46" s="1"/>
      <c r="X46" s="1"/>
      <c r="Y46" s="1"/>
      <c r="Z46" s="1"/>
      <c r="AA46" s="1"/>
      <c r="AB46" s="1">
        <v>0</v>
      </c>
      <c r="AC46" s="1">
        <v>0</v>
      </c>
      <c r="AD46" s="1"/>
      <c r="AE46" s="1"/>
      <c r="AF46" s="1"/>
      <c r="AG46" s="1">
        <v>0</v>
      </c>
      <c r="AH46" s="1">
        <v>0</v>
      </c>
      <c r="AI46" s="1"/>
      <c r="AJ46" s="1"/>
      <c r="AK46" s="1"/>
      <c r="AL46" s="1">
        <v>0</v>
      </c>
      <c r="AM46" s="1"/>
      <c r="AN46" s="1">
        <v>0</v>
      </c>
      <c r="AO46" s="1"/>
      <c r="AP46" s="1">
        <v>0</v>
      </c>
      <c r="AQ46" s="1"/>
      <c r="AR46" s="1">
        <v>0</v>
      </c>
      <c r="AS46" s="1"/>
      <c r="AT46" s="1"/>
      <c r="AU46" s="1">
        <v>1</v>
      </c>
      <c r="AV46" s="1"/>
      <c r="AW46" s="1">
        <v>0</v>
      </c>
      <c r="AX46" s="1"/>
      <c r="AY46" s="1"/>
      <c r="AZ46" s="1"/>
      <c r="BA46" s="1">
        <v>0</v>
      </c>
      <c r="BB46" s="1"/>
      <c r="BC46" s="1">
        <v>0</v>
      </c>
      <c r="BD46" s="1">
        <v>1</v>
      </c>
      <c r="BE46" s="1"/>
      <c r="BF46" s="1"/>
      <c r="BG46" s="1"/>
      <c r="BH46" s="1"/>
      <c r="BI46" s="1"/>
      <c r="BJ46" s="1">
        <v>0</v>
      </c>
      <c r="BK46" s="1">
        <v>0</v>
      </c>
      <c r="BL46" s="1">
        <v>0</v>
      </c>
      <c r="BM46" s="1">
        <v>0</v>
      </c>
      <c r="BN46" s="1"/>
      <c r="BO46" s="1">
        <v>3</v>
      </c>
      <c r="BP46" s="1"/>
      <c r="BQ46" s="1"/>
      <c r="BR46" s="1"/>
      <c r="BS46" s="1"/>
      <c r="BT46" s="1">
        <v>0</v>
      </c>
      <c r="BU46" s="1"/>
      <c r="BV46" s="1">
        <v>3</v>
      </c>
      <c r="BW46" s="1"/>
      <c r="BX46" s="1">
        <v>0</v>
      </c>
      <c r="BY46" s="1">
        <v>2</v>
      </c>
      <c r="BZ46" s="1"/>
      <c r="CA46" s="1"/>
      <c r="CB46" s="1">
        <v>0</v>
      </c>
      <c r="CC46" s="1">
        <v>2</v>
      </c>
      <c r="CD46" s="1"/>
      <c r="CE46" s="1">
        <v>0</v>
      </c>
      <c r="CF46" s="1">
        <v>0</v>
      </c>
      <c r="CG46" s="1"/>
      <c r="CH46" s="1"/>
      <c r="CI46" s="1"/>
      <c r="CJ46" s="1"/>
      <c r="CK46" s="1"/>
      <c r="CL46" s="1"/>
      <c r="CM46" s="1">
        <v>2</v>
      </c>
      <c r="CN46" s="1"/>
      <c r="CO46" s="1"/>
      <c r="CP46" s="1"/>
      <c r="CQ46" s="1"/>
      <c r="CR46" s="1">
        <v>0</v>
      </c>
      <c r="CS46" s="1">
        <v>0</v>
      </c>
      <c r="CT46" s="1">
        <v>0</v>
      </c>
      <c r="CU46" s="1">
        <v>0</v>
      </c>
      <c r="CV46" s="1"/>
      <c r="CW46" s="1"/>
      <c r="CX46" s="1"/>
      <c r="CY46" s="1"/>
      <c r="CZ46" s="1"/>
      <c r="DA46" s="1"/>
      <c r="DB46" s="1"/>
      <c r="DC46" s="1"/>
      <c r="DD46" s="1"/>
      <c r="DE46" s="1"/>
      <c r="DK46" s="15" t="str">
        <f t="shared" si="0"/>
        <v>Planning</v>
      </c>
    </row>
    <row r="47" spans="1:115" ht="60">
      <c r="A47" s="27"/>
      <c r="B47" s="26"/>
      <c r="C47" s="3">
        <f t="shared" si="1"/>
        <v>43</v>
      </c>
      <c r="D47" s="2" t="s">
        <v>400</v>
      </c>
      <c r="E47" s="1"/>
      <c r="F47" s="1"/>
      <c r="G47" s="1"/>
      <c r="H47" s="1">
        <v>0</v>
      </c>
      <c r="I47" s="1"/>
      <c r="J47" s="1">
        <v>0</v>
      </c>
      <c r="K47" s="1"/>
      <c r="L47" s="1">
        <v>0</v>
      </c>
      <c r="M47" s="1">
        <v>0</v>
      </c>
      <c r="N47" s="1"/>
      <c r="O47" s="1"/>
      <c r="P47" s="1"/>
      <c r="Q47" s="1"/>
      <c r="R47" s="1"/>
      <c r="S47" s="1"/>
      <c r="T47" s="1"/>
      <c r="U47" s="1"/>
      <c r="V47" s="1"/>
      <c r="W47" s="1"/>
      <c r="X47" s="1"/>
      <c r="Y47" s="1"/>
      <c r="Z47" s="1"/>
      <c r="AA47" s="1"/>
      <c r="AB47" s="1">
        <v>0</v>
      </c>
      <c r="AC47" s="1">
        <v>0</v>
      </c>
      <c r="AD47" s="1"/>
      <c r="AE47" s="1"/>
      <c r="AF47" s="1"/>
      <c r="AG47" s="1">
        <v>0</v>
      </c>
      <c r="AH47" s="1">
        <v>0</v>
      </c>
      <c r="AI47" s="1"/>
      <c r="AJ47" s="1"/>
      <c r="AK47" s="1"/>
      <c r="AL47" s="1">
        <v>0</v>
      </c>
      <c r="AM47" s="1"/>
      <c r="AN47" s="1">
        <v>0</v>
      </c>
      <c r="AO47" s="1"/>
      <c r="AP47" s="1">
        <v>0</v>
      </c>
      <c r="AQ47" s="1"/>
      <c r="AR47" s="1">
        <v>0</v>
      </c>
      <c r="AS47" s="1"/>
      <c r="AT47" s="1"/>
      <c r="AU47" s="1">
        <v>0</v>
      </c>
      <c r="AV47" s="1"/>
      <c r="AW47" s="1">
        <v>0</v>
      </c>
      <c r="AX47" s="1"/>
      <c r="AY47" s="1"/>
      <c r="AZ47" s="1"/>
      <c r="BA47" s="1">
        <v>0</v>
      </c>
      <c r="BB47" s="1"/>
      <c r="BC47" s="1">
        <v>0</v>
      </c>
      <c r="BD47" s="1">
        <v>0</v>
      </c>
      <c r="BE47" s="1"/>
      <c r="BF47" s="1"/>
      <c r="BG47" s="1"/>
      <c r="BH47" s="1"/>
      <c r="BI47" s="1"/>
      <c r="BJ47" s="1">
        <v>0</v>
      </c>
      <c r="BK47" s="1">
        <v>0</v>
      </c>
      <c r="BL47" s="1">
        <v>0</v>
      </c>
      <c r="BM47" s="1">
        <v>0</v>
      </c>
      <c r="BN47" s="1"/>
      <c r="BO47" s="1">
        <v>0</v>
      </c>
      <c r="BP47" s="1"/>
      <c r="BQ47" s="1"/>
      <c r="BR47" s="1"/>
      <c r="BS47" s="1"/>
      <c r="BT47" s="1">
        <v>2</v>
      </c>
      <c r="BU47" s="1"/>
      <c r="BV47" s="1">
        <v>0</v>
      </c>
      <c r="BW47" s="1"/>
      <c r="BX47" s="1">
        <v>0</v>
      </c>
      <c r="BY47" s="1">
        <v>0</v>
      </c>
      <c r="BZ47" s="1"/>
      <c r="CA47" s="1"/>
      <c r="CB47" s="1">
        <v>0</v>
      </c>
      <c r="CC47" s="1">
        <v>0</v>
      </c>
      <c r="CD47" s="1"/>
      <c r="CE47" s="1">
        <v>0</v>
      </c>
      <c r="CF47" s="1">
        <v>0</v>
      </c>
      <c r="CG47" s="1"/>
      <c r="CH47" s="1"/>
      <c r="CI47" s="1"/>
      <c r="CJ47" s="1"/>
      <c r="CK47" s="1"/>
      <c r="CL47" s="1"/>
      <c r="CM47" s="1">
        <v>0</v>
      </c>
      <c r="CN47" s="1"/>
      <c r="CO47" s="1"/>
      <c r="CP47" s="1"/>
      <c r="CQ47" s="1"/>
      <c r="CR47" s="1">
        <v>0</v>
      </c>
      <c r="CS47" s="1">
        <v>0</v>
      </c>
      <c r="CT47" s="1">
        <v>0</v>
      </c>
      <c r="CU47" s="1">
        <v>0</v>
      </c>
      <c r="CV47" s="1"/>
      <c r="CW47" s="1"/>
      <c r="CX47" s="1"/>
      <c r="CY47" s="1"/>
      <c r="CZ47" s="1"/>
      <c r="DA47" s="1"/>
      <c r="DB47" s="1"/>
      <c r="DC47" s="1"/>
      <c r="DD47" s="1"/>
      <c r="DE47" s="1"/>
      <c r="DK47" s="15" t="str">
        <f t="shared" si="0"/>
        <v>Planning</v>
      </c>
    </row>
    <row r="48" spans="1:115" ht="36">
      <c r="A48" s="27"/>
      <c r="B48" s="26"/>
      <c r="C48" s="3">
        <f t="shared" si="1"/>
        <v>44</v>
      </c>
      <c r="D48" s="2" t="s">
        <v>401</v>
      </c>
      <c r="E48" s="1"/>
      <c r="F48" s="1"/>
      <c r="G48" s="1"/>
      <c r="H48" s="1">
        <v>0</v>
      </c>
      <c r="I48" s="1"/>
      <c r="J48" s="1">
        <v>0</v>
      </c>
      <c r="K48" s="1"/>
      <c r="L48" s="1">
        <v>0</v>
      </c>
      <c r="M48" s="1">
        <v>0</v>
      </c>
      <c r="N48" s="1"/>
      <c r="O48" s="1"/>
      <c r="P48" s="1"/>
      <c r="Q48" s="1"/>
      <c r="R48" s="1"/>
      <c r="S48" s="1"/>
      <c r="T48" s="1"/>
      <c r="U48" s="1"/>
      <c r="V48" s="1"/>
      <c r="W48" s="1"/>
      <c r="X48" s="1"/>
      <c r="Y48" s="1"/>
      <c r="Z48" s="1"/>
      <c r="AA48" s="1"/>
      <c r="AB48" s="1">
        <v>0</v>
      </c>
      <c r="AC48" s="1">
        <v>0</v>
      </c>
      <c r="AD48" s="1"/>
      <c r="AE48" s="1"/>
      <c r="AF48" s="1"/>
      <c r="AG48" s="1">
        <v>0</v>
      </c>
      <c r="AH48" s="1">
        <v>0</v>
      </c>
      <c r="AI48" s="1"/>
      <c r="AJ48" s="1"/>
      <c r="AK48" s="1"/>
      <c r="AL48" s="1">
        <v>2</v>
      </c>
      <c r="AM48" s="1"/>
      <c r="AN48" s="1">
        <v>0</v>
      </c>
      <c r="AO48" s="1"/>
      <c r="AP48" s="1">
        <v>0</v>
      </c>
      <c r="AQ48" s="1"/>
      <c r="AR48" s="1">
        <v>0</v>
      </c>
      <c r="AS48" s="1"/>
      <c r="AT48" s="1"/>
      <c r="AU48" s="1">
        <v>0</v>
      </c>
      <c r="AV48" s="1"/>
      <c r="AW48" s="1">
        <v>0</v>
      </c>
      <c r="AX48" s="1"/>
      <c r="AY48" s="1"/>
      <c r="AZ48" s="1"/>
      <c r="BA48" s="1">
        <v>0</v>
      </c>
      <c r="BB48" s="1"/>
      <c r="BC48" s="1">
        <v>0</v>
      </c>
      <c r="BD48" s="1">
        <v>0</v>
      </c>
      <c r="BE48" s="1"/>
      <c r="BF48" s="1"/>
      <c r="BG48" s="1"/>
      <c r="BH48" s="1"/>
      <c r="BI48" s="1"/>
      <c r="BJ48" s="1">
        <v>0</v>
      </c>
      <c r="BK48" s="1">
        <v>3</v>
      </c>
      <c r="BL48" s="1">
        <v>0</v>
      </c>
      <c r="BM48" s="1">
        <v>0</v>
      </c>
      <c r="BN48" s="1"/>
      <c r="BO48" s="1">
        <v>0</v>
      </c>
      <c r="BP48" s="1"/>
      <c r="BQ48" s="1"/>
      <c r="BR48" s="1"/>
      <c r="BS48" s="1"/>
      <c r="BT48" s="1">
        <v>0</v>
      </c>
      <c r="BU48" s="1"/>
      <c r="BV48" s="1">
        <v>0</v>
      </c>
      <c r="BW48" s="1"/>
      <c r="BX48" s="1">
        <v>0</v>
      </c>
      <c r="BY48" s="1">
        <v>0</v>
      </c>
      <c r="BZ48" s="1"/>
      <c r="CA48" s="1"/>
      <c r="CB48" s="1">
        <v>0</v>
      </c>
      <c r="CC48" s="1">
        <v>0</v>
      </c>
      <c r="CD48" s="1"/>
      <c r="CE48" s="1">
        <v>0</v>
      </c>
      <c r="CF48" s="1">
        <v>0</v>
      </c>
      <c r="CG48" s="1"/>
      <c r="CH48" s="1"/>
      <c r="CI48" s="1"/>
      <c r="CJ48" s="1"/>
      <c r="CK48" s="1"/>
      <c r="CL48" s="1"/>
      <c r="CM48" s="1">
        <v>0</v>
      </c>
      <c r="CN48" s="1"/>
      <c r="CO48" s="1"/>
      <c r="CP48" s="1"/>
      <c r="CQ48" s="1"/>
      <c r="CR48" s="1">
        <v>0</v>
      </c>
      <c r="CS48" s="1">
        <v>0</v>
      </c>
      <c r="CT48" s="1">
        <v>0</v>
      </c>
      <c r="CU48" s="1">
        <v>0</v>
      </c>
      <c r="CV48" s="1"/>
      <c r="CW48" s="1"/>
      <c r="CX48" s="1"/>
      <c r="CY48" s="1"/>
      <c r="CZ48" s="1"/>
      <c r="DA48" s="1"/>
      <c r="DB48" s="1"/>
      <c r="DC48" s="1"/>
      <c r="DD48" s="1"/>
      <c r="DE48" s="1"/>
      <c r="DK48" s="15" t="str">
        <f t="shared" si="0"/>
        <v>Planning</v>
      </c>
    </row>
    <row r="49" spans="1:115" ht="48">
      <c r="A49" s="27"/>
      <c r="B49" s="26"/>
      <c r="C49" s="3">
        <f t="shared" si="1"/>
        <v>45</v>
      </c>
      <c r="D49" s="2" t="s">
        <v>402</v>
      </c>
      <c r="E49" s="1"/>
      <c r="F49" s="1"/>
      <c r="G49" s="1"/>
      <c r="H49" s="1">
        <v>0</v>
      </c>
      <c r="I49" s="1"/>
      <c r="J49" s="1">
        <v>0</v>
      </c>
      <c r="K49" s="1"/>
      <c r="L49" s="1">
        <v>0</v>
      </c>
      <c r="M49" s="1">
        <v>0</v>
      </c>
      <c r="N49" s="1"/>
      <c r="O49" s="1"/>
      <c r="P49" s="1"/>
      <c r="Q49" s="1"/>
      <c r="R49" s="1"/>
      <c r="S49" s="1"/>
      <c r="T49" s="1"/>
      <c r="U49" s="1"/>
      <c r="V49" s="1"/>
      <c r="W49" s="1"/>
      <c r="X49" s="1"/>
      <c r="Y49" s="1"/>
      <c r="Z49" s="1"/>
      <c r="AA49" s="1"/>
      <c r="AB49" s="1">
        <v>0</v>
      </c>
      <c r="AC49" s="1">
        <v>0</v>
      </c>
      <c r="AD49" s="1"/>
      <c r="AE49" s="1"/>
      <c r="AF49" s="1"/>
      <c r="AG49" s="1">
        <v>0</v>
      </c>
      <c r="AH49" s="1">
        <v>0</v>
      </c>
      <c r="AI49" s="1"/>
      <c r="AJ49" s="1"/>
      <c r="AK49" s="1"/>
      <c r="AL49" s="1">
        <v>0</v>
      </c>
      <c r="AM49" s="1"/>
      <c r="AN49" s="1">
        <v>0</v>
      </c>
      <c r="AO49" s="1"/>
      <c r="AP49" s="1">
        <v>0</v>
      </c>
      <c r="AQ49" s="1"/>
      <c r="AR49" s="1">
        <v>0</v>
      </c>
      <c r="AS49" s="1"/>
      <c r="AT49" s="1"/>
      <c r="AU49" s="1">
        <v>0</v>
      </c>
      <c r="AV49" s="1"/>
      <c r="AW49" s="1">
        <v>0</v>
      </c>
      <c r="AX49" s="1"/>
      <c r="AY49" s="1"/>
      <c r="AZ49" s="1"/>
      <c r="BA49" s="1">
        <v>0</v>
      </c>
      <c r="BB49" s="1"/>
      <c r="BC49" s="1">
        <v>0</v>
      </c>
      <c r="BD49" s="1">
        <v>0</v>
      </c>
      <c r="BE49" s="1"/>
      <c r="BF49" s="1"/>
      <c r="BG49" s="1"/>
      <c r="BH49" s="1"/>
      <c r="BI49" s="1"/>
      <c r="BJ49" s="1">
        <v>0</v>
      </c>
      <c r="BK49" s="1">
        <v>0</v>
      </c>
      <c r="BL49" s="1">
        <v>0</v>
      </c>
      <c r="BM49" s="1">
        <v>0</v>
      </c>
      <c r="BN49" s="1"/>
      <c r="BO49" s="1">
        <v>2</v>
      </c>
      <c r="BP49" s="1"/>
      <c r="BQ49" s="1"/>
      <c r="BR49" s="1"/>
      <c r="BS49" s="1"/>
      <c r="BT49" s="1">
        <v>0</v>
      </c>
      <c r="BU49" s="1"/>
      <c r="BV49" s="1">
        <v>2</v>
      </c>
      <c r="BW49" s="1"/>
      <c r="BX49" s="1">
        <v>2</v>
      </c>
      <c r="BY49" s="1">
        <v>2</v>
      </c>
      <c r="BZ49" s="1"/>
      <c r="CA49" s="1"/>
      <c r="CB49" s="1">
        <v>2</v>
      </c>
      <c r="CC49" s="1">
        <v>0</v>
      </c>
      <c r="CD49" s="1"/>
      <c r="CE49" s="1">
        <v>0</v>
      </c>
      <c r="CF49" s="1">
        <v>0</v>
      </c>
      <c r="CG49" s="1"/>
      <c r="CH49" s="1"/>
      <c r="CI49" s="1"/>
      <c r="CJ49" s="1"/>
      <c r="CK49" s="1"/>
      <c r="CL49" s="1"/>
      <c r="CM49" s="1">
        <v>0</v>
      </c>
      <c r="CN49" s="1"/>
      <c r="CO49" s="1"/>
      <c r="CP49" s="1"/>
      <c r="CQ49" s="1"/>
      <c r="CR49" s="1">
        <v>0</v>
      </c>
      <c r="CS49" s="1">
        <v>0</v>
      </c>
      <c r="CT49" s="1">
        <v>0</v>
      </c>
      <c r="CU49" s="1">
        <v>2</v>
      </c>
      <c r="CV49" s="1"/>
      <c r="CW49" s="1"/>
      <c r="CX49" s="1"/>
      <c r="CY49" s="1"/>
      <c r="CZ49" s="1"/>
      <c r="DA49" s="1"/>
      <c r="DB49" s="1"/>
      <c r="DC49" s="1"/>
      <c r="DD49" s="1"/>
      <c r="DE49" s="1"/>
      <c r="DK49" s="15" t="str">
        <f t="shared" si="0"/>
        <v>Planning</v>
      </c>
    </row>
    <row r="50" spans="1:115" ht="48">
      <c r="A50" s="27"/>
      <c r="B50" s="26" t="s">
        <v>403</v>
      </c>
      <c r="C50" s="3">
        <f t="shared" si="1"/>
        <v>46</v>
      </c>
      <c r="D50" s="2" t="s">
        <v>404</v>
      </c>
      <c r="E50" s="1"/>
      <c r="F50" s="1"/>
      <c r="G50" s="1"/>
      <c r="H50" s="1">
        <v>0</v>
      </c>
      <c r="I50" s="1"/>
      <c r="J50" s="1">
        <v>0</v>
      </c>
      <c r="K50" s="1"/>
      <c r="L50" s="1">
        <v>0</v>
      </c>
      <c r="M50" s="1">
        <v>0</v>
      </c>
      <c r="N50" s="1"/>
      <c r="O50" s="1"/>
      <c r="P50" s="1"/>
      <c r="Q50" s="1"/>
      <c r="R50" s="1"/>
      <c r="S50" s="1"/>
      <c r="T50" s="1"/>
      <c r="U50" s="1"/>
      <c r="V50" s="1"/>
      <c r="W50" s="1"/>
      <c r="X50" s="1"/>
      <c r="Y50" s="1"/>
      <c r="Z50" s="1"/>
      <c r="AA50" s="1"/>
      <c r="AB50" s="1">
        <v>1</v>
      </c>
      <c r="AC50" s="1">
        <v>0</v>
      </c>
      <c r="AD50" s="1"/>
      <c r="AE50" s="1"/>
      <c r="AF50" s="1"/>
      <c r="AG50" s="1">
        <v>0</v>
      </c>
      <c r="AH50" s="1">
        <v>0</v>
      </c>
      <c r="AI50" s="1"/>
      <c r="AJ50" s="1"/>
      <c r="AK50" s="1"/>
      <c r="AL50" s="1">
        <v>0</v>
      </c>
      <c r="AM50" s="1"/>
      <c r="AN50" s="1">
        <v>0</v>
      </c>
      <c r="AO50" s="1"/>
      <c r="AP50" s="1">
        <v>0</v>
      </c>
      <c r="AQ50" s="1"/>
      <c r="AR50" s="1">
        <v>0</v>
      </c>
      <c r="AS50" s="1"/>
      <c r="AT50" s="1"/>
      <c r="AU50" s="1">
        <v>0</v>
      </c>
      <c r="AV50" s="1"/>
      <c r="AW50" s="1">
        <v>0</v>
      </c>
      <c r="AX50" s="1"/>
      <c r="AY50" s="1"/>
      <c r="AZ50" s="1"/>
      <c r="BA50" s="1">
        <v>0</v>
      </c>
      <c r="BB50" s="1"/>
      <c r="BC50" s="1">
        <v>0</v>
      </c>
      <c r="BD50" s="1">
        <v>0</v>
      </c>
      <c r="BE50" s="1"/>
      <c r="BF50" s="1"/>
      <c r="BG50" s="1"/>
      <c r="BH50" s="1"/>
      <c r="BI50" s="1"/>
      <c r="BJ50" s="1">
        <v>0</v>
      </c>
      <c r="BK50" s="1">
        <v>0</v>
      </c>
      <c r="BL50" s="1">
        <v>0</v>
      </c>
      <c r="BM50" s="1">
        <v>0</v>
      </c>
      <c r="BN50" s="1"/>
      <c r="BO50" s="1">
        <v>3</v>
      </c>
      <c r="BP50" s="1"/>
      <c r="BQ50" s="1"/>
      <c r="BR50" s="1"/>
      <c r="BS50" s="1"/>
      <c r="BT50" s="1">
        <v>2</v>
      </c>
      <c r="BU50" s="1"/>
      <c r="BV50" s="1">
        <v>0</v>
      </c>
      <c r="BW50" s="1"/>
      <c r="BX50" s="1">
        <v>1</v>
      </c>
      <c r="BY50" s="1">
        <v>0</v>
      </c>
      <c r="BZ50" s="1"/>
      <c r="CA50" s="1"/>
      <c r="CB50" s="1">
        <v>0</v>
      </c>
      <c r="CC50" s="1">
        <v>0</v>
      </c>
      <c r="CD50" s="1"/>
      <c r="CE50" s="1">
        <v>0</v>
      </c>
      <c r="CF50" s="1">
        <v>0</v>
      </c>
      <c r="CG50" s="1"/>
      <c r="CH50" s="1"/>
      <c r="CI50" s="1"/>
      <c r="CJ50" s="1"/>
      <c r="CK50" s="1"/>
      <c r="CL50" s="1"/>
      <c r="CM50" s="1">
        <v>0</v>
      </c>
      <c r="CN50" s="1"/>
      <c r="CO50" s="1"/>
      <c r="CP50" s="1"/>
      <c r="CQ50" s="1"/>
      <c r="CR50" s="1">
        <v>0</v>
      </c>
      <c r="CS50" s="1">
        <v>0</v>
      </c>
      <c r="CT50" s="1">
        <v>0</v>
      </c>
      <c r="CU50" s="1">
        <v>0</v>
      </c>
      <c r="CV50" s="1"/>
      <c r="CW50" s="1"/>
      <c r="CX50" s="1"/>
      <c r="CY50" s="1"/>
      <c r="CZ50" s="1"/>
      <c r="DA50" s="1"/>
      <c r="DB50" s="1"/>
      <c r="DC50" s="1"/>
      <c r="DD50" s="1"/>
      <c r="DE50" s="1"/>
      <c r="DK50" s="15" t="str">
        <f t="shared" si="0"/>
        <v>Planning</v>
      </c>
    </row>
    <row r="51" spans="1:115" ht="48">
      <c r="A51" s="27"/>
      <c r="B51" s="26"/>
      <c r="C51" s="3">
        <f t="shared" si="1"/>
        <v>47</v>
      </c>
      <c r="D51" s="2" t="s">
        <v>405</v>
      </c>
      <c r="E51" s="1"/>
      <c r="F51" s="1"/>
      <c r="G51" s="1"/>
      <c r="H51" s="1">
        <v>0</v>
      </c>
      <c r="I51" s="1"/>
      <c r="J51" s="1">
        <v>0</v>
      </c>
      <c r="K51" s="1"/>
      <c r="L51" s="1">
        <v>0</v>
      </c>
      <c r="M51" s="1">
        <v>0</v>
      </c>
      <c r="N51" s="1"/>
      <c r="O51" s="1"/>
      <c r="P51" s="1"/>
      <c r="Q51" s="1"/>
      <c r="R51" s="1"/>
      <c r="S51" s="1"/>
      <c r="T51" s="1"/>
      <c r="U51" s="1"/>
      <c r="V51" s="1"/>
      <c r="W51" s="1"/>
      <c r="X51" s="1"/>
      <c r="Y51" s="1"/>
      <c r="Z51" s="1"/>
      <c r="AA51" s="1"/>
      <c r="AB51" s="1">
        <v>0</v>
      </c>
      <c r="AC51" s="1">
        <v>0</v>
      </c>
      <c r="AD51" s="1"/>
      <c r="AE51" s="1"/>
      <c r="AF51" s="1"/>
      <c r="AG51" s="1">
        <v>0</v>
      </c>
      <c r="AH51" s="1">
        <v>0</v>
      </c>
      <c r="AI51" s="1"/>
      <c r="AJ51" s="1"/>
      <c r="AK51" s="1"/>
      <c r="AL51" s="1">
        <v>0</v>
      </c>
      <c r="AM51" s="1"/>
      <c r="AN51" s="1">
        <v>0</v>
      </c>
      <c r="AO51" s="1"/>
      <c r="AP51" s="1">
        <v>0</v>
      </c>
      <c r="AQ51" s="1"/>
      <c r="AR51" s="1">
        <v>0</v>
      </c>
      <c r="AS51" s="1"/>
      <c r="AT51" s="1"/>
      <c r="AU51" s="1">
        <v>0</v>
      </c>
      <c r="AV51" s="1"/>
      <c r="AW51" s="1">
        <v>0</v>
      </c>
      <c r="AX51" s="1"/>
      <c r="AY51" s="1"/>
      <c r="AZ51" s="1"/>
      <c r="BA51" s="1">
        <v>0</v>
      </c>
      <c r="BB51" s="1"/>
      <c r="BC51" s="1">
        <v>0</v>
      </c>
      <c r="BD51" s="1">
        <v>0</v>
      </c>
      <c r="BE51" s="1"/>
      <c r="BF51" s="1"/>
      <c r="BG51" s="1"/>
      <c r="BH51" s="1"/>
      <c r="BI51" s="1"/>
      <c r="BJ51" s="1">
        <v>0</v>
      </c>
      <c r="BK51" s="1">
        <v>0</v>
      </c>
      <c r="BL51" s="1">
        <v>0</v>
      </c>
      <c r="BM51" s="1">
        <v>0</v>
      </c>
      <c r="BN51" s="1"/>
      <c r="BO51" s="1">
        <v>1</v>
      </c>
      <c r="BP51" s="1"/>
      <c r="BQ51" s="1"/>
      <c r="BR51" s="1"/>
      <c r="BS51" s="1"/>
      <c r="BT51" s="1">
        <v>0</v>
      </c>
      <c r="BU51" s="1"/>
      <c r="BV51" s="1">
        <v>0</v>
      </c>
      <c r="BW51" s="1"/>
      <c r="BX51" s="1">
        <v>1</v>
      </c>
      <c r="BY51" s="1">
        <v>0</v>
      </c>
      <c r="BZ51" s="1"/>
      <c r="CA51" s="1"/>
      <c r="CB51" s="1">
        <v>0</v>
      </c>
      <c r="CC51" s="1">
        <v>0</v>
      </c>
      <c r="CD51" s="1"/>
      <c r="CE51" s="1">
        <v>0</v>
      </c>
      <c r="CF51" s="1">
        <v>0</v>
      </c>
      <c r="CG51" s="1"/>
      <c r="CH51" s="1"/>
      <c r="CI51" s="1"/>
      <c r="CJ51" s="1"/>
      <c r="CK51" s="1"/>
      <c r="CL51" s="1"/>
      <c r="CM51" s="1">
        <v>0</v>
      </c>
      <c r="CN51" s="1"/>
      <c r="CO51" s="1"/>
      <c r="CP51" s="1"/>
      <c r="CQ51" s="1"/>
      <c r="CR51" s="1">
        <v>0</v>
      </c>
      <c r="CS51" s="1">
        <v>0</v>
      </c>
      <c r="CT51" s="1">
        <v>0</v>
      </c>
      <c r="CU51" s="1">
        <v>0</v>
      </c>
      <c r="CV51" s="1"/>
      <c r="CW51" s="1"/>
      <c r="CX51" s="1"/>
      <c r="CY51" s="1"/>
      <c r="CZ51" s="1"/>
      <c r="DA51" s="1"/>
      <c r="DB51" s="1"/>
      <c r="DC51" s="1"/>
      <c r="DD51" s="1"/>
      <c r="DE51" s="1"/>
      <c r="DK51" s="15" t="str">
        <f t="shared" si="0"/>
        <v>Planning</v>
      </c>
    </row>
    <row r="52" spans="1:115" ht="36">
      <c r="A52" s="27"/>
      <c r="B52" s="26"/>
      <c r="C52" s="3">
        <f t="shared" si="1"/>
        <v>48</v>
      </c>
      <c r="D52" s="2" t="s">
        <v>406</v>
      </c>
      <c r="E52" s="1"/>
      <c r="F52" s="1"/>
      <c r="G52" s="1"/>
      <c r="H52" s="1">
        <v>0</v>
      </c>
      <c r="I52" s="1"/>
      <c r="J52" s="1">
        <v>0</v>
      </c>
      <c r="K52" s="1"/>
      <c r="L52" s="1">
        <v>0</v>
      </c>
      <c r="M52" s="1">
        <v>0</v>
      </c>
      <c r="N52" s="1"/>
      <c r="O52" s="1"/>
      <c r="P52" s="1"/>
      <c r="Q52" s="1"/>
      <c r="R52" s="1"/>
      <c r="S52" s="1"/>
      <c r="T52" s="1"/>
      <c r="U52" s="1"/>
      <c r="V52" s="1"/>
      <c r="W52" s="1"/>
      <c r="X52" s="1"/>
      <c r="Y52" s="1"/>
      <c r="Z52" s="1"/>
      <c r="AA52" s="1"/>
      <c r="AB52" s="1">
        <v>0</v>
      </c>
      <c r="AC52" s="1">
        <v>0</v>
      </c>
      <c r="AD52" s="1"/>
      <c r="AE52" s="1"/>
      <c r="AF52" s="1"/>
      <c r="AG52" s="1">
        <v>0</v>
      </c>
      <c r="AH52" s="1">
        <v>0</v>
      </c>
      <c r="AI52" s="1"/>
      <c r="AJ52" s="1"/>
      <c r="AK52" s="1"/>
      <c r="AL52" s="1">
        <v>0</v>
      </c>
      <c r="AM52" s="1"/>
      <c r="AN52" s="1">
        <v>0</v>
      </c>
      <c r="AO52" s="1"/>
      <c r="AP52" s="1">
        <v>0</v>
      </c>
      <c r="AQ52" s="1"/>
      <c r="AR52" s="1">
        <v>0</v>
      </c>
      <c r="AS52" s="1"/>
      <c r="AT52" s="1"/>
      <c r="AU52" s="1">
        <v>0</v>
      </c>
      <c r="AV52" s="1"/>
      <c r="AW52" s="1">
        <v>0</v>
      </c>
      <c r="AX52" s="1"/>
      <c r="AY52" s="1"/>
      <c r="AZ52" s="1"/>
      <c r="BA52" s="1">
        <v>0</v>
      </c>
      <c r="BB52" s="1"/>
      <c r="BC52" s="1">
        <v>0</v>
      </c>
      <c r="BD52" s="1">
        <v>0</v>
      </c>
      <c r="BE52" s="1"/>
      <c r="BF52" s="1"/>
      <c r="BG52" s="1"/>
      <c r="BH52" s="1"/>
      <c r="BI52" s="1"/>
      <c r="BJ52" s="1">
        <v>0</v>
      </c>
      <c r="BK52" s="1">
        <v>0</v>
      </c>
      <c r="BL52" s="1">
        <v>0</v>
      </c>
      <c r="BM52" s="1">
        <v>0</v>
      </c>
      <c r="BN52" s="1"/>
      <c r="BO52" s="1">
        <v>0</v>
      </c>
      <c r="BP52" s="1"/>
      <c r="BQ52" s="1"/>
      <c r="BR52" s="1"/>
      <c r="BS52" s="1"/>
      <c r="BT52" s="1">
        <v>0</v>
      </c>
      <c r="BU52" s="1"/>
      <c r="BV52" s="1">
        <v>0</v>
      </c>
      <c r="BW52" s="1"/>
      <c r="BX52" s="1">
        <v>0</v>
      </c>
      <c r="BY52" s="1">
        <v>0</v>
      </c>
      <c r="BZ52" s="1"/>
      <c r="CA52" s="1"/>
      <c r="CB52" s="1">
        <v>0</v>
      </c>
      <c r="CC52" s="1">
        <v>0</v>
      </c>
      <c r="CD52" s="1"/>
      <c r="CE52" s="1">
        <v>0</v>
      </c>
      <c r="CF52" s="1">
        <v>0</v>
      </c>
      <c r="CG52" s="1"/>
      <c r="CH52" s="1"/>
      <c r="CI52" s="1"/>
      <c r="CJ52" s="1"/>
      <c r="CK52" s="1"/>
      <c r="CL52" s="1"/>
      <c r="CM52" s="1">
        <v>0</v>
      </c>
      <c r="CN52" s="1"/>
      <c r="CO52" s="1"/>
      <c r="CP52" s="1"/>
      <c r="CQ52" s="1"/>
      <c r="CR52" s="1">
        <v>0</v>
      </c>
      <c r="CS52" s="1">
        <v>0</v>
      </c>
      <c r="CT52" s="1">
        <v>0</v>
      </c>
      <c r="CU52" s="1">
        <v>0</v>
      </c>
      <c r="CV52" s="1"/>
      <c r="CW52" s="1"/>
      <c r="CX52" s="1"/>
      <c r="CY52" s="1"/>
      <c r="CZ52" s="1"/>
      <c r="DA52" s="1"/>
      <c r="DB52" s="1"/>
      <c r="DC52" s="1"/>
      <c r="DD52" s="1"/>
      <c r="DE52" s="1"/>
      <c r="DK52" s="15" t="str">
        <f t="shared" si="0"/>
        <v>Planning</v>
      </c>
    </row>
  </sheetData>
  <mergeCells count="21">
    <mergeCell ref="A32:A40"/>
    <mergeCell ref="B32:B35"/>
    <mergeCell ref="B36:B40"/>
    <mergeCell ref="A41:A52"/>
    <mergeCell ref="B41:B44"/>
    <mergeCell ref="B45:B49"/>
    <mergeCell ref="B50:B52"/>
    <mergeCell ref="A19:A22"/>
    <mergeCell ref="B19:B20"/>
    <mergeCell ref="B21:B22"/>
    <mergeCell ref="A23:A31"/>
    <mergeCell ref="B23:B25"/>
    <mergeCell ref="B26:B27"/>
    <mergeCell ref="B28:B29"/>
    <mergeCell ref="A16:A18"/>
    <mergeCell ref="B16:B18"/>
    <mergeCell ref="A5:A10"/>
    <mergeCell ref="B5:B7"/>
    <mergeCell ref="B8:B10"/>
    <mergeCell ref="A11:A15"/>
    <mergeCell ref="B12:B15"/>
  </mergeCells>
  <conditionalFormatting sqref="E5:DE52">
    <cfRule type="expression" dxfId="0" priority="1">
      <formula>AND(E$3&lt;&gt;"",E$3=$DK5)</formula>
    </cfRule>
  </conditionalFormatting>
  <dataValidations count="3">
    <dataValidation type="whole" allowBlank="1" showInputMessage="1" showErrorMessage="1" errorTitle="Invalid score" error="Affinity score must be an integer between 0 and 5." sqref="E5:E52 F33:Y52" xr:uid="{D1D06105-8134-4121-B519-9B7A02EFA185}">
      <formula1>0</formula1>
      <formula2>5</formula2>
    </dataValidation>
    <dataValidation type="whole" allowBlank="1" showInputMessage="1" showErrorMessage="1" sqref="F12:AB32 DK12:DK32 F5:DE11 AD12:DE32" xr:uid="{BD76FD21-D5C0-4366-832A-95E9BDA53A32}">
      <formula1>0</formula1>
      <formula2>5</formula2>
    </dataValidation>
    <dataValidation type="list" allowBlank="1" showInputMessage="1" showErrorMessage="1" sqref="E3:DE3" xr:uid="{7477A13F-57CF-4E9E-A49A-81FE0ACDD3C1}">
      <formula1>$DI$5:$DI$12</formula1>
    </dataValidation>
  </dataValidations>
  <hyperlinks>
    <hyperlink ref="D23" location="_ftn1" display="_ftn1" xr:uid="{D192FF84-03CF-4F89-8ECD-AADD222A3AA8}"/>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gallegos</dc:creator>
  <cp:keywords/>
  <dc:description/>
  <cp:lastModifiedBy>charlie</cp:lastModifiedBy>
  <cp:revision/>
  <dcterms:created xsi:type="dcterms:W3CDTF">2015-06-05T18:17:20Z</dcterms:created>
  <dcterms:modified xsi:type="dcterms:W3CDTF">2026-07-22T17:28:23Z</dcterms:modified>
  <cp:category/>
  <cp:contentStatus/>
</cp:coreProperties>
</file>